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3e990d687e3194b/Documents/TYCS/"/>
    </mc:Choice>
  </mc:AlternateContent>
  <xr:revisionPtr revIDLastSave="73" documentId="8_{05A0118C-8117-4732-9D05-9B1B0E3931DE}" xr6:coauthVersionLast="47" xr6:coauthVersionMax="47" xr10:uidLastSave="{AC7BB71B-E083-482E-8670-A74BB51DB979}"/>
  <bookViews>
    <workbookView xWindow="-110" yWindow="-110" windowWidth="25820" windowHeight="15500" tabRatio="500" firstSheet="1" activeTab="2" xr2:uid="{00000000-000D-0000-FFFF-FFFF00000000}"/>
  </bookViews>
  <sheets>
    <sheet name="Dashboard" sheetId="1" r:id="rId1"/>
    <sheet name="Guide" sheetId="2" r:id="rId2"/>
    <sheet name="1 Programming" sheetId="3" r:id="rId3"/>
    <sheet name="2 Math for CS" sheetId="4" r:id="rId4"/>
    <sheet name="3 Algorithms" sheetId="5" r:id="rId5"/>
    <sheet name="4 Architecture" sheetId="6" r:id="rId6"/>
    <sheet name="5 Lang &amp; Compilers" sheetId="7" r:id="rId7"/>
    <sheet name="6 Operating Systems" sheetId="8" r:id="rId8"/>
    <sheet name="7 Networking" sheetId="9" r:id="rId9"/>
    <sheet name="8 Databases" sheetId="10" r:id="rId10"/>
    <sheet name="9 Distributed" sheetId="11" r:id="rId11"/>
  </sheets>
  <definedNames>
    <definedName name="_xlnm._FilterDatabase" localSheetId="2" hidden="1">'1 Programming'!$A$5:$K$144</definedName>
    <definedName name="_xlnm._FilterDatabase" localSheetId="3" hidden="1">'2 Math for CS'!$A$5:$K$43</definedName>
    <definedName name="_xlnm._FilterDatabase" localSheetId="4" hidden="1">'3 Algorithms'!$A$5:$K$131</definedName>
    <definedName name="_xlnm._FilterDatabase" localSheetId="5" hidden="1">'4 Architecture'!$A$5:$K$53</definedName>
    <definedName name="_xlnm._FilterDatabase" localSheetId="6" hidden="1">'5 Lang &amp; Compilers'!$A$5:$K$62</definedName>
    <definedName name="_xlnm._FilterDatabase" localSheetId="7" hidden="1">'6 Operating Systems'!$A$5:$K$48</definedName>
    <definedName name="_xlnm._FilterDatabase" localSheetId="8" hidden="1">'7 Networking'!$A$5:$K$85</definedName>
    <definedName name="_xlnm._FilterDatabase" localSheetId="9" hidden="1">'8 Databases'!$A$5:$K$33</definedName>
    <definedName name="_xlnm._FilterDatabase" localSheetId="10" hidden="1">'9 Distributed'!$A$5:$K$38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1" l="1"/>
  <c r="H3" i="11"/>
  <c r="D3" i="11"/>
  <c r="B3" i="11"/>
  <c r="F3" i="11" s="1"/>
  <c r="J3" i="10"/>
  <c r="H3" i="10"/>
  <c r="D3" i="10"/>
  <c r="B3" i="10"/>
  <c r="F3" i="10" s="1"/>
  <c r="J3" i="9"/>
  <c r="H3" i="9"/>
  <c r="D3" i="9"/>
  <c r="B3" i="9"/>
  <c r="F3" i="9" s="1"/>
  <c r="J3" i="8"/>
  <c r="H3" i="8"/>
  <c r="D3" i="8"/>
  <c r="B3" i="8"/>
  <c r="F3" i="8" s="1"/>
  <c r="J3" i="7"/>
  <c r="H3" i="7"/>
  <c r="D3" i="7"/>
  <c r="B3" i="7"/>
  <c r="F3" i="7" s="1"/>
  <c r="J3" i="6"/>
  <c r="H3" i="6"/>
  <c r="D3" i="6"/>
  <c r="B3" i="6"/>
  <c r="F3" i="6" s="1"/>
  <c r="J3" i="5"/>
  <c r="H3" i="5"/>
  <c r="D3" i="5"/>
  <c r="F3" i="5" s="1"/>
  <c r="B3" i="5"/>
  <c r="J3" i="4"/>
  <c r="H3" i="4"/>
  <c r="D3" i="4"/>
  <c r="B3" i="4"/>
  <c r="F3" i="4" s="1"/>
  <c r="J3" i="3"/>
  <c r="H3" i="3"/>
  <c r="D3" i="3"/>
  <c r="B3" i="3"/>
  <c r="N16" i="1"/>
  <c r="M16" i="1"/>
  <c r="L16" i="1"/>
  <c r="K16" i="1"/>
  <c r="J16" i="1"/>
  <c r="I16" i="1"/>
  <c r="H16" i="1"/>
  <c r="G16" i="1"/>
  <c r="E16" i="1"/>
  <c r="F16" i="1" s="1"/>
  <c r="D16" i="1"/>
  <c r="M15" i="1"/>
  <c r="L15" i="1"/>
  <c r="K15" i="1"/>
  <c r="J15" i="1"/>
  <c r="I15" i="1"/>
  <c r="H15" i="1"/>
  <c r="G15" i="1"/>
  <c r="E15" i="1"/>
  <c r="D15" i="1"/>
  <c r="N15" i="1" s="1"/>
  <c r="M14" i="1"/>
  <c r="L14" i="1"/>
  <c r="K14" i="1"/>
  <c r="J14" i="1"/>
  <c r="I14" i="1"/>
  <c r="H14" i="1"/>
  <c r="G14" i="1"/>
  <c r="E14" i="1"/>
  <c r="D14" i="1"/>
  <c r="F14" i="1" s="1"/>
  <c r="M13" i="1"/>
  <c r="L13" i="1"/>
  <c r="K13" i="1"/>
  <c r="J13" i="1"/>
  <c r="I13" i="1"/>
  <c r="H13" i="1"/>
  <c r="G13" i="1"/>
  <c r="F13" i="1"/>
  <c r="E13" i="1"/>
  <c r="D13" i="1"/>
  <c r="N13" i="1" s="1"/>
  <c r="M12" i="1"/>
  <c r="L12" i="1"/>
  <c r="K12" i="1"/>
  <c r="J12" i="1"/>
  <c r="I12" i="1"/>
  <c r="H12" i="1"/>
  <c r="G12" i="1"/>
  <c r="F12" i="1"/>
  <c r="E12" i="1"/>
  <c r="N12" i="1" s="1"/>
  <c r="D12" i="1"/>
  <c r="M11" i="1"/>
  <c r="L11" i="1"/>
  <c r="K11" i="1"/>
  <c r="J11" i="1"/>
  <c r="I11" i="1"/>
  <c r="H11" i="1"/>
  <c r="G11" i="1"/>
  <c r="E11" i="1"/>
  <c r="D11" i="1"/>
  <c r="F11" i="1" s="1"/>
  <c r="N10" i="1"/>
  <c r="M10" i="1"/>
  <c r="L10" i="1"/>
  <c r="K10" i="1"/>
  <c r="J10" i="1"/>
  <c r="I10" i="1"/>
  <c r="H10" i="1"/>
  <c r="G10" i="1"/>
  <c r="E10" i="1"/>
  <c r="D10" i="1"/>
  <c r="F10" i="1" s="1"/>
  <c r="M9" i="1"/>
  <c r="L9" i="1"/>
  <c r="K9" i="1"/>
  <c r="J9" i="1"/>
  <c r="I9" i="1"/>
  <c r="H9" i="1"/>
  <c r="G9" i="1"/>
  <c r="F9" i="1"/>
  <c r="E9" i="1"/>
  <c r="D9" i="1"/>
  <c r="N9" i="1" s="1"/>
  <c r="M8" i="1"/>
  <c r="M17" i="1" s="1"/>
  <c r="L8" i="1"/>
  <c r="L17" i="1" s="1"/>
  <c r="K8" i="1"/>
  <c r="J8" i="1"/>
  <c r="J17" i="1" s="1"/>
  <c r="L5" i="1" s="1"/>
  <c r="I8" i="1"/>
  <c r="I17" i="1" s="1"/>
  <c r="H8" i="1"/>
  <c r="H17" i="1" s="1"/>
  <c r="J5" i="1" s="1"/>
  <c r="G8" i="1"/>
  <c r="G17" i="1" s="1"/>
  <c r="E8" i="1"/>
  <c r="E17" i="1" s="1"/>
  <c r="D5" i="1" s="1"/>
  <c r="D8" i="1"/>
  <c r="N8" i="1" l="1"/>
  <c r="K17" i="1"/>
  <c r="H5" i="1" s="1"/>
  <c r="F3" i="3"/>
  <c r="N11" i="1"/>
  <c r="N14" i="1"/>
  <c r="F15" i="1"/>
  <c r="D17" i="1"/>
  <c r="F8" i="1"/>
  <c r="N17" i="1" l="1"/>
  <c r="F17" i="1"/>
  <c r="B5" i="1" s="1"/>
  <c r="F5" i="1"/>
</calcChain>
</file>

<file path=xl/sharedStrings.xml><?xml version="1.0" encoding="utf-8"?>
<sst xmlns="http://schemas.openxmlformats.org/spreadsheetml/2006/main" count="3153" uniqueCount="1111">
  <si>
    <t>Teach Yourself CS — Progress Dashboard</t>
  </si>
  <si>
    <t>Subjects are in study order (theory block, then systems block). Every budget includes a 10-hour fallback-lecture reserve. All numbers here are calculated from the subject sheets.</t>
  </si>
  <si>
    <t>Overall complete</t>
  </si>
  <si>
    <t>Hours done</t>
  </si>
  <si>
    <t>Hours planned</t>
  </si>
  <si>
    <t>Actual hours logged</t>
  </si>
  <si>
    <t>Problems done</t>
  </si>
  <si>
    <t>Labs/projects done</t>
  </si>
  <si>
    <t>#</t>
  </si>
  <si>
    <t>Subject</t>
  </si>
  <si>
    <t>Resources</t>
  </si>
  <si>
    <t>Planned hrs</t>
  </si>
  <si>
    <t>Done hrs</t>
  </si>
  <si>
    <t>% complete</t>
  </si>
  <si>
    <t>Problems planned</t>
  </si>
  <si>
    <t>Labs/projects planned</t>
  </si>
  <si>
    <t>Actual hrs</t>
  </si>
  <si>
    <t>Started</t>
  </si>
  <si>
    <t>Last activity</t>
  </si>
  <si>
    <t>Status</t>
  </si>
  <si>
    <t>Programming</t>
  </si>
  <si>
    <t>SICP 2nd ed., Ch 1–3</t>
  </si>
  <si>
    <t>Math for CS</t>
  </si>
  <si>
    <t>MCS (2018 PDF), core chapters</t>
  </si>
  <si>
    <t>Algorithms</t>
  </si>
  <si>
    <t>ADM 3rd ed. Part I + 100 LeetCode</t>
  </si>
  <si>
    <t>Computer Architecture</t>
  </si>
  <si>
    <t>CS:APP 3rd ed. (NA), Ch 1–6 + 4 labs</t>
  </si>
  <si>
    <t>Languages &amp; Compilers</t>
  </si>
  <si>
    <t>Nand2Tetris Part II + Crafting Interpreters</t>
  </si>
  <si>
    <t>Operating Systems</t>
  </si>
  <si>
    <t>OSTEP (all) + MIT 6.1810 labs</t>
  </si>
  <si>
    <t>Computer Networking</t>
  </si>
  <si>
    <t>Kurose &amp; Ross 9th ed. + Wireshark 9.0</t>
  </si>
  <si>
    <t>Databases</t>
  </si>
  <si>
    <t>CMU 15-445 + DSC 7th ed. + BusTub</t>
  </si>
  <si>
    <t>Distributed Systems</t>
  </si>
  <si>
    <t>DDIA 2nd ed. + Gossip Glomers + 6.5840</t>
  </si>
  <si>
    <t>Total</t>
  </si>
  <si>
    <t>How this plan works</t>
  </si>
  <si>
    <t>HOW TO USE</t>
  </si>
  <si>
    <t>Order</t>
  </si>
  <si>
    <t>Work the subject sheets in number order and each sheet top to bottom; rows are sequenced so reading comes right before its exercises.</t>
  </si>
  <si>
    <t>Cells you edit</t>
  </si>
  <si>
    <t>Only the shaded columns on subject sheets: Status (dropdown), Date done, Actual hrs, Notes. Everything else, including the Dashboard, is calculated.</t>
  </si>
  <si>
    <t>Not started / In progress / Done / Skipped. Done rows turn green and count toward progress. Skipped removes a row from the planned totals.</t>
  </si>
  <si>
    <t>Multi-problem rows</t>
  </si>
  <si>
    <t>Rows like "Ch 5 problems ×10" give a count and a selection rule. Mark Done when you've finished that many, and write the problem numbers you chose in Notes.</t>
  </si>
  <si>
    <t>Reserve rows</t>
  </si>
  <si>
    <t>Each subject has a 10-hour "Fallback lectures reserve". Log any lecture time in Actual hrs and mark it Done when the subject is finished.</t>
  </si>
  <si>
    <t>Progress math</t>
  </si>
  <si>
    <t>% complete = estimated hours of Done rows ÷ planned hours, so a 14-hour lab moves the needle more than a 15-minute exercise.</t>
  </si>
  <si>
    <t>EXAMPLE ROW</t>
  </si>
  <si>
    <t>Filled-in example</t>
  </si>
  <si>
    <t>#: 18 | Chapter / Section: 1.2 | Item: Ex 1.19 | Type: Exercise | Qty: 1 | What &amp; why: Logarithmic Fibonacci (T_pq) | Est. hrs: 1.5 | Status: Done | Date done: 2026-11-03 | Actual hrs: 2.0 | Notes: Needed a hint for p' and q'</t>
  </si>
  <si>
    <t>RULES BEHIND THE LISTS</t>
  </si>
  <si>
    <t>Hours over percentage</t>
  </si>
  <si>
    <t>Budgets are 150–200 hours per subject. SICP hits 55% of its exercises; books with hundreds of problems (MCS, CS:APP, ADM, Kurose &amp; Ross) get the highest-yield subset that fits the hours.</t>
  </si>
  <si>
    <t>Exact vs. rule-based rows</t>
  </si>
  <si>
    <t>SICP, CS:APP homework, OSTEP homework chapters, Crafting Interpreters challenges, the Kurose &amp; Ross interactive problems and Wireshark labs are listed by number or name. MCS, ADM, Kurose &amp; Ross textbook problems and Database System Concepts practice exercises are per-chapter counts with a selection rule, because I couldn't verify those books' exact numbering.</t>
  </si>
  <si>
    <t>Labs count as exercises</t>
  </si>
  <si>
    <t>Labs and projects often replace end-of-chapter problems where they teach the same thing better (e.g. Data Lab replaces most CS:APP Ch 2 bit-puzzle homework).</t>
  </si>
  <si>
    <t>Lectures</t>
  </si>
  <si>
    <t>Fallback only: watch a lecture when a topic doesn't click after reading and one or two exercises.</t>
  </si>
  <si>
    <t>CHECKING YOUR WORK</t>
  </si>
  <si>
    <t>SICP</t>
  </si>
  <si>
    <t>community.schemewiki.org (sicp-solutions pages)</t>
  </si>
  <si>
    <t>MCS</t>
  </si>
  <si>
    <t>No official answer key; write proofs out in full and have them critiqued.</t>
  </si>
  <si>
    <t>ADM</t>
  </si>
  <si>
    <t>Odd-numbered solutions: algorist.com/algowiki</t>
  </si>
  <si>
    <t>CS:APP</t>
  </si>
  <si>
    <t>Practice-problem solutions at the end of each chapter; lab handouts include self-checking tools.</t>
  </si>
  <si>
    <t>OSTEP</t>
  </si>
  <si>
    <t>Homework simulators print answers with the -c flag.</t>
  </si>
  <si>
    <t>Kurose &amp; Ross</t>
  </si>
  <si>
    <t>Interactive problems show solutions; Wireshark lab solutions are instructor-only.</t>
  </si>
  <si>
    <t>Crafting Interpreters</t>
  </si>
  <si>
    <t>Challenge answers in the book repo's note/answers folder.</t>
  </si>
  <si>
    <t>Practice-exercise solutions on db-book.com; BusTub ships local tests.</t>
  </si>
  <si>
    <t>6.1810 / 6.5840</t>
  </si>
  <si>
    <t>make grade (6.1810) and the provided Go test suites (6.5840).</t>
  </si>
  <si>
    <t>CROSS-SUBJECT DEDUPLICATION</t>
  </si>
  <si>
    <t>Proofs &amp; recurrences</t>
  </si>
  <si>
    <t>Done in MCS, so ADM Ch 1–2 and 5 exercises skip induction, summation, and recurrence-solving.</t>
  </si>
  <si>
    <t>RSA</t>
  </si>
  <si>
    <t>Done in MCS Ch 9; skim it in Kurose &amp; Ross Ch 8 and OSTEP's cryptography chapter.</t>
  </si>
  <si>
    <t>Concurrency</t>
  </si>
  <si>
    <t>SICP 3.4 is kept to three exercises; OSTEP covers it properly.</t>
  </si>
  <si>
    <t>Compilers</t>
  </si>
  <si>
    <t>Crafting Interpreters Ch 4, 16, 22–24 are skimmed because N2T II projects 8, 10, 11 cover them.</t>
  </si>
  <si>
    <t>Storage &amp; transactions</t>
  </si>
  <si>
    <t>15-445 comes first, so DDIA's B-tree/LSM and single-node isolation sections are skims.</t>
  </si>
  <si>
    <t>Distributed</t>
  </si>
  <si>
    <t>OSTEP's distribution chapters are read-only; DDIA and 6.5840 go deeper.</t>
  </si>
  <si>
    <t>LANGUAGE RAMPS (inside budgets)</t>
  </si>
  <si>
    <t>C</t>
  </si>
  <si>
    <t>Start of Architecture (10 h). Used again in clox, OSTEP, and 6.1810.</t>
  </si>
  <si>
    <t>Java</t>
  </si>
  <si>
    <t>Before jlox in Languages &amp; Compilers (4 h).</t>
  </si>
  <si>
    <t>C++</t>
  </si>
  <si>
    <t>BusTub Project 0 in Databases.</t>
  </si>
  <si>
    <t>Go</t>
  </si>
  <si>
    <t>A Tour of Go at the start of Distributed Systems (5 h).</t>
  </si>
  <si>
    <t>EDITIONS &amp; LINKS</t>
  </si>
  <si>
    <t>2nd ed. (Scheme). sarabander.github.io/sicp</t>
  </si>
  <si>
    <t>Lehman, Leighton &amp; Meyer, spring 2018 PDF: courses.csail.mit.edu/6.042/spring18/mcs.pdf. Chapter numbers follow that PDF; match by title if yours differs.</t>
  </si>
  <si>
    <t>3rd ed. (2020). Solution wiki: algorist.com/algowiki. Skiena's videos: www3.cs.stonybrook.edu/~skiena/373/videos</t>
  </si>
  <si>
    <t>3rd ed., North American (avoid the Global Edition's problems). Labs: csapp.cs.cmu.edu/3e/labs.html</t>
  </si>
  <si>
    <t>Nand2Tetris</t>
  </si>
  <si>
    <t>The Elements of Computing Systems, 2nd ed. nand2tetris.org</t>
  </si>
  <si>
    <t>craftinginterpreters.com; code: github.com/munificent/craftinginterpreters</t>
  </si>
  <si>
    <t>pages.cs.wisc.edu/~remzi/OSTEP; homework: github.com/remzi-arpacidusseau/ostep-homework; projects: github.com/remzi-arpacidusseau/ostep-projects</t>
  </si>
  <si>
    <t>MIT 6.1810</t>
  </si>
  <si>
    <t>pdos.csail.mit.edu/6.1810 (use the current semester's labs)</t>
  </si>
  <si>
    <t>9th ed. (2025). Interactive problems: gaia.cs.umass.edu/kurose_ross/interactive/ ; Wireshark 9.0 labs: gaia.cs.umass.edu/kurose_ross/wireshark.php</t>
  </si>
  <si>
    <t>15445.courses.cs.cmu.edu; BusTub: github.com/cmu-db/bustub; Database System Concepts 7th ed.: db-book.com; Architecture of a Database System: db.cs.berkeley.edu/papers/fntdb07-architecture.pdf</t>
  </si>
  <si>
    <t>DDIA</t>
  </si>
  <si>
    <t>2nd ed. (Kleppmann &amp; Riccomini, 2026), 14 chapters</t>
  </si>
  <si>
    <t>Distributed labs</t>
  </si>
  <si>
    <t>Gossip Glomers: fly.io/dist-sys; MIT 6.5840: pdos.csail.mit.edu/6.824</t>
  </si>
  <si>
    <t>1 · Programming — SICP 2nd ed., Ch 1–3</t>
  </si>
  <si>
    <t>SICP 2nd edition (Scheme), Chapters 1–3: 124 of 225 exercises (55%). Community solutions to check against: community.schemewiki.org (search sicp-solutions).</t>
  </si>
  <si>
    <t>of</t>
  </si>
  <si>
    <t>Chapter / Section</t>
  </si>
  <si>
    <t>Item</t>
  </si>
  <si>
    <t>Type</t>
  </si>
  <si>
    <t>Qty</t>
  </si>
  <si>
    <t>What &amp; why</t>
  </si>
  <si>
    <t>Est. hrs</t>
  </si>
  <si>
    <t>Date done</t>
  </si>
  <si>
    <t>Notes</t>
  </si>
  <si>
    <t>Setup</t>
  </si>
  <si>
    <t>Racket + #lang sicp</t>
  </si>
  <si>
    <t>Install Racket, run `raco pkg install sicp`, use #lang sicp. Bookmark Brian Harvey's CS 61A lectures as the fallback.</t>
  </si>
  <si>
    <t>Not started</t>
  </si>
  <si>
    <t>1.1</t>
  </si>
  <si>
    <t>Read §1.1 The Elements of Programming</t>
  </si>
  <si>
    <t>Reading</t>
  </si>
  <si>
    <t>Ex 1.5</t>
  </si>
  <si>
    <t>Exercise</t>
  </si>
  <si>
    <t>Applicative vs. normal order (Ben's test)</t>
  </si>
  <si>
    <t>Ex 1.6</t>
  </si>
  <si>
    <t>Why new-if recurses forever (special forms)</t>
  </si>
  <si>
    <t>Ex 1.7</t>
  </si>
  <si>
    <t>good-enough? for tiny and huge numbers</t>
  </si>
  <si>
    <t>Ex 1.8</t>
  </si>
  <si>
    <t>Cube roots by Newton's method</t>
  </si>
  <si>
    <t>1.2</t>
  </si>
  <si>
    <t>Read §1.2 Procedures and the Processes They Generate</t>
  </si>
  <si>
    <t>Ex 1.9</t>
  </si>
  <si>
    <t>Recursive vs. iterative process for +</t>
  </si>
  <si>
    <t>Ex 1.11</t>
  </si>
  <si>
    <t>f(n) recursively and iteratively</t>
  </si>
  <si>
    <t>Ex 1.14</t>
  </si>
  <si>
    <t>count-change tree; orders of growth</t>
  </si>
  <si>
    <t>Ex 1.16</t>
  </si>
  <si>
    <t>Iterative fast-expt with an invariant</t>
  </si>
  <si>
    <t>Ex 1.18</t>
  </si>
  <si>
    <t>Log-time iterative multiplication (uses 1.17's double/halve)</t>
  </si>
  <si>
    <t>Ex 1.19</t>
  </si>
  <si>
    <t>Logarithmic Fibonacci (T_pq)</t>
  </si>
  <si>
    <t>Ex 1.20</t>
  </si>
  <si>
    <t>GCD remainder count: normal vs. applicative order</t>
  </si>
  <si>
    <t>Ex 1.22</t>
  </si>
  <si>
    <t>timed-prime-test; check the sqrt(10) growth claim</t>
  </si>
  <si>
    <t>Ex 1.25</t>
  </si>
  <si>
    <t>Why not expmod via fast-expt?</t>
  </si>
  <si>
    <t>Ex 1.26</t>
  </si>
  <si>
    <t>Louis's expmod: Θ(log n) becomes Θ(n)</t>
  </si>
  <si>
    <t>Ex 1.27</t>
  </si>
  <si>
    <t>Carmichael numbers fool the Fermat test</t>
  </si>
  <si>
    <t>Ex 1.28</t>
  </si>
  <si>
    <t>Miller–Rabin test</t>
  </si>
  <si>
    <t>1.3</t>
  </si>
  <si>
    <t>Read §1.3 Higher-Order Procedures</t>
  </si>
  <si>
    <t>Ex 1.29</t>
  </si>
  <si>
    <t>Simpson's rule</t>
  </si>
  <si>
    <t>Ex 1.30</t>
  </si>
  <si>
    <t>Iterative sum</t>
  </si>
  <si>
    <t>Ex 1.32</t>
  </si>
  <si>
    <t>accumulate (recursive and iterative)</t>
  </si>
  <si>
    <t>Ex 1.33</t>
  </si>
  <si>
    <t>filtered-accumulate</t>
  </si>
  <si>
    <t>Ex 1.34</t>
  </si>
  <si>
    <t>What happens with (f f)?</t>
  </si>
  <si>
    <t>Ex 1.35</t>
  </si>
  <si>
    <t>Golden ratio as a fixed point</t>
  </si>
  <si>
    <t>Ex 1.37</t>
  </si>
  <si>
    <t>cont-frac (recursive and iterative)</t>
  </si>
  <si>
    <t>Ex 1.40</t>
  </si>
  <si>
    <t>cubic for newtons-method</t>
  </si>
  <si>
    <t>Ex 1.41</t>
  </si>
  <si>
    <t>double; (((double (double double)) inc) 5)</t>
  </si>
  <si>
    <t>Ex 1.42</t>
  </si>
  <si>
    <t>compose</t>
  </si>
  <si>
    <t>Ex 1.43</t>
  </si>
  <si>
    <t>repeated</t>
  </si>
  <si>
    <t>Ex 1.45</t>
  </si>
  <si>
    <t>nth roots: how many average damps?</t>
  </si>
  <si>
    <t>Ex 1.46</t>
  </si>
  <si>
    <t>iterative-improve; rewrite sqrt and fixed-point</t>
  </si>
  <si>
    <t>2.1</t>
  </si>
  <si>
    <t>Read §2.1 Introduction to Data Abstraction</t>
  </si>
  <si>
    <t>Ex 2.2</t>
  </si>
  <si>
    <t>Segments, points, midpoint</t>
  </si>
  <si>
    <t>Ex 2.3</t>
  </si>
  <si>
    <t>Rectangles, two representations (abstraction barriers)</t>
  </si>
  <si>
    <t>Ex 2.4</t>
  </si>
  <si>
    <t>Pairs as procedures</t>
  </si>
  <si>
    <t>Ex 2.6</t>
  </si>
  <si>
    <t>Church numerals</t>
  </si>
  <si>
    <t>Ex 2.7</t>
  </si>
  <si>
    <t>Interval selectors</t>
  </si>
  <si>
    <t>Ex 2.8</t>
  </si>
  <si>
    <t>sub-interval</t>
  </si>
  <si>
    <t>Ex 2.9</t>
  </si>
  <si>
    <t>Width of sums vs. products</t>
  </si>
  <si>
    <t>Ex 2.12</t>
  </si>
  <si>
    <t>make-center-percent</t>
  </si>
  <si>
    <t>Ex 2.14</t>
  </si>
  <si>
    <t>Show Lem is right (par1 vs. par2)</t>
  </si>
  <si>
    <t>Ex 2.15</t>
  </si>
  <si>
    <t>Is Eva right about par2?</t>
  </si>
  <si>
    <t>2.2</t>
  </si>
  <si>
    <t>Read §2.2 Hierarchical Data and the Closure Property</t>
  </si>
  <si>
    <t>Ex 2.18</t>
  </si>
  <si>
    <t>reverse</t>
  </si>
  <si>
    <t>Ex 2.20</t>
  </si>
  <si>
    <t>same-parity (dotted-tail notation)</t>
  </si>
  <si>
    <t>Ex 2.22</t>
  </si>
  <si>
    <t>Why Louis's iterative square-list comes out reversed</t>
  </si>
  <si>
    <t>Ex 2.24</t>
  </si>
  <si>
    <t>Box-and-pointer and tree for a nested list</t>
  </si>
  <si>
    <t>Ex 2.27</t>
  </si>
  <si>
    <t>deep-reverse</t>
  </si>
  <si>
    <t>Ex 2.28</t>
  </si>
  <si>
    <t>fringe</t>
  </si>
  <si>
    <t>Ex 2.29</t>
  </si>
  <si>
    <t>Binary mobiles (change of representation)</t>
  </si>
  <si>
    <t>Ex 2.31</t>
  </si>
  <si>
    <t>tree-map abstraction</t>
  </si>
  <si>
    <t>Ex 2.32</t>
  </si>
  <si>
    <t>subsets, and why it works</t>
  </si>
  <si>
    <t>Ex 2.33</t>
  </si>
  <si>
    <t>map / append / length via accumulate</t>
  </si>
  <si>
    <t>Ex 2.36</t>
  </si>
  <si>
    <t>accumulate-n</t>
  </si>
  <si>
    <t>Ex 2.37</t>
  </si>
  <si>
    <t>Matrix operations via sequence operations</t>
  </si>
  <si>
    <t>Ex 2.38</t>
  </si>
  <si>
    <t>fold-left vs. fold-right</t>
  </si>
  <si>
    <t>Ex 2.40</t>
  </si>
  <si>
    <t>unique-pairs; simplify prime-sum-pairs</t>
  </si>
  <si>
    <t>Ex 2.42</t>
  </si>
  <si>
    <t>Eight queens</t>
  </si>
  <si>
    <t>Ex 2.43</t>
  </si>
  <si>
    <t>Why Louis's queens is slow (estimate T)</t>
  </si>
  <si>
    <t>Ex 2.45</t>
  </si>
  <si>
    <t>General split (picture language; includes setup)</t>
  </si>
  <si>
    <t>Ex 2.49</t>
  </si>
  <si>
    <t>Painters from segments</t>
  </si>
  <si>
    <t>Ex 2.51</t>
  </si>
  <si>
    <t>below, two ways</t>
  </si>
  <si>
    <t>Ex 2.52</t>
  </si>
  <si>
    <t>Change square-limit at each level of the language</t>
  </si>
  <si>
    <t>2.3</t>
  </si>
  <si>
    <t>Read §2.3 Symbolic Data</t>
  </si>
  <si>
    <t>Ex 2.55</t>
  </si>
  <si>
    <t>(car ''abracadabra)</t>
  </si>
  <si>
    <t>Ex 2.56</t>
  </si>
  <si>
    <t>deriv: exponentiation rule</t>
  </si>
  <si>
    <t>Ex 2.57</t>
  </si>
  <si>
    <t>deriv: arbitrary-arity sums and products</t>
  </si>
  <si>
    <t>Ex 2.58</t>
  </si>
  <si>
    <t>Infix deriv: part (a) required, (b) stretch</t>
  </si>
  <si>
    <t>Ex 2.60</t>
  </si>
  <si>
    <t>Sets with duplicates: trade-offs</t>
  </si>
  <si>
    <t>Ex 2.62</t>
  </si>
  <si>
    <t>Θ(n) union-set on ordered lists</t>
  </si>
  <si>
    <t>Ex 2.63</t>
  </si>
  <si>
    <t>tree-&gt;list-1 vs. tree-&gt;list-2</t>
  </si>
  <si>
    <t>Ex 2.64</t>
  </si>
  <si>
    <t>list-&gt;tree / partial-tree</t>
  </si>
  <si>
    <t>Ex 2.65</t>
  </si>
  <si>
    <t>Θ(n) union and intersection on balanced trees</t>
  </si>
  <si>
    <t>Ex 2.68</t>
  </si>
  <si>
    <t>Huffman encode (uses 2.67's sample tree)</t>
  </si>
  <si>
    <t>Ex 2.69</t>
  </si>
  <si>
    <t>generate-huffman-tree / successive-merge</t>
  </si>
  <si>
    <t>Ex 2.71</t>
  </si>
  <si>
    <t>Huffman trees for frequencies 1, 2, 4, ...</t>
  </si>
  <si>
    <t>2.4</t>
  </si>
  <si>
    <t>Read §2.4 Multiple Representations for Abstract Data</t>
  </si>
  <si>
    <t>Ex 2.73</t>
  </si>
  <si>
    <t>Data-directed deriv</t>
  </si>
  <si>
    <t>Ex 2.75</t>
  </si>
  <si>
    <t>Message-passing make-from-mag-ang</t>
  </si>
  <si>
    <t>Ex 2.76</t>
  </si>
  <si>
    <t>Adding types vs. operations (the expression problem)</t>
  </si>
  <si>
    <t>2.5</t>
  </si>
  <si>
    <t>Read §2.5 Systems with Generic Operations</t>
  </si>
  <si>
    <t>Ex 2.77</t>
  </si>
  <si>
    <t>Trace apply-generic on (magnitude z)</t>
  </si>
  <si>
    <t>Ex 2.78</t>
  </si>
  <si>
    <t>Use native Scheme numbers</t>
  </si>
  <si>
    <t>Ex 2.79</t>
  </si>
  <si>
    <t>Generic equ?</t>
  </si>
  <si>
    <t>Ex 2.80</t>
  </si>
  <si>
    <t>Generic =zero?</t>
  </si>
  <si>
    <t>Ex 2.81</t>
  </si>
  <si>
    <t>Louis's same-type coercion</t>
  </si>
  <si>
    <t>Ex 2.83</t>
  </si>
  <si>
    <t>raise through the tower</t>
  </si>
  <si>
    <t>Ex 2.84</t>
  </si>
  <si>
    <t>Coercion by successive raising</t>
  </si>
  <si>
    <t>Ex 2.87</t>
  </si>
  <si>
    <t>Generic =zero? extended to polynomials</t>
  </si>
  <si>
    <t>Ex 2.88</t>
  </si>
  <si>
    <t>Polynomial subtraction</t>
  </si>
  <si>
    <t>3.1</t>
  </si>
  <si>
    <t>Read §3.1 Assignment and Local State</t>
  </si>
  <si>
    <t>Ex 3.1</t>
  </si>
  <si>
    <t>make-accumulator</t>
  </si>
  <si>
    <t>Ex 3.2</t>
  </si>
  <si>
    <t>make-monitored</t>
  </si>
  <si>
    <t>Ex 3.3</t>
  </si>
  <si>
    <t>Password-protected account</t>
  </si>
  <si>
    <t>Ex 3.5</t>
  </si>
  <si>
    <t>Monte Carlo estimate-integral</t>
  </si>
  <si>
    <t>Ex 3.7</t>
  </si>
  <si>
    <t>make-joint</t>
  </si>
  <si>
    <t>Ex 3.8</t>
  </si>
  <si>
    <t>Expose the order of evaluation</t>
  </si>
  <si>
    <t>3.2</t>
  </si>
  <si>
    <t>Read §3.2 The Environment Model of Evaluation</t>
  </si>
  <si>
    <t>Ex 3.9</t>
  </si>
  <si>
    <t>Environment diagrams: both factorials</t>
  </si>
  <si>
    <t>Ex 3.10</t>
  </si>
  <si>
    <t>let inside make-withdraw</t>
  </si>
  <si>
    <t>Ex 3.11</t>
  </si>
  <si>
    <t>Environment model for a message-passing account</t>
  </si>
  <si>
    <t>3.3</t>
  </si>
  <si>
    <t>Read §3.3 Modeling with Mutable Data</t>
  </si>
  <si>
    <t>Ex 3.12</t>
  </si>
  <si>
    <t>append vs. append! diagrams</t>
  </si>
  <si>
    <t>Ex 3.14</t>
  </si>
  <si>
    <t>mystery (in-place reverse)</t>
  </si>
  <si>
    <t>Ex 3.16</t>
  </si>
  <si>
    <t>Why Ben's count-pairs is wrong</t>
  </si>
  <si>
    <t>Ex 3.17</t>
  </si>
  <si>
    <t>Correct count-pairs</t>
  </si>
  <si>
    <t>Ex 3.19</t>
  </si>
  <si>
    <t>Constant-space cycle detection</t>
  </si>
  <si>
    <t>Ex 3.21</t>
  </si>
  <si>
    <t>Why Ben's queue prints wrong</t>
  </si>
  <si>
    <t>Ex 3.23</t>
  </si>
  <si>
    <t>Deque with O(1) operations</t>
  </si>
  <si>
    <t>Ex 3.27</t>
  </si>
  <si>
    <t>memo-fib environment diagram</t>
  </si>
  <si>
    <t>Ex 3.28</t>
  </si>
  <si>
    <t>or-gate</t>
  </si>
  <si>
    <t>Ex 3.30</t>
  </si>
  <si>
    <t>Ripple-carry adder and its delay</t>
  </si>
  <si>
    <t>Ex 3.31</t>
  </si>
  <si>
    <t>Why actions run when added</t>
  </si>
  <si>
    <t>Ex 3.32</t>
  </si>
  <si>
    <t>Agenda: FIFO vs. LIFO</t>
  </si>
  <si>
    <t>Ex 3.33</t>
  </si>
  <si>
    <t>averager constraint</t>
  </si>
  <si>
    <t>Ex 3.34</t>
  </si>
  <si>
    <t>The flaw in Louis's squarer</t>
  </si>
  <si>
    <t>3.4</t>
  </si>
  <si>
    <t>Read §3.4 Concurrency (OSTEP goes deeper later)</t>
  </si>
  <si>
    <t>Ex 3.38</t>
  </si>
  <si>
    <t>Interleavings of bank transactions</t>
  </si>
  <si>
    <t>Ex 3.39</t>
  </si>
  <si>
    <t>Which interleavings survive serialization</t>
  </si>
  <si>
    <t>Ex 3.48</t>
  </si>
  <si>
    <t>Deadlock avoidance by ordering</t>
  </si>
  <si>
    <t>3.5</t>
  </si>
  <si>
    <t>Read §3.5 Streams</t>
  </si>
  <si>
    <t>Ex 3.50</t>
  </si>
  <si>
    <t>General stream-map</t>
  </si>
  <si>
    <t>Ex 3.51</t>
  </si>
  <si>
    <t>show: memoization in action</t>
  </si>
  <si>
    <t>Ex 3.55</t>
  </si>
  <si>
    <t>partial-sums</t>
  </si>
  <si>
    <t>Ex 3.56</t>
  </si>
  <si>
    <t>Hamming numbers</t>
  </si>
  <si>
    <t>Ex 3.57</t>
  </si>
  <si>
    <t>Additions for fibs with and without memoization</t>
  </si>
  <si>
    <t>Ex 3.59</t>
  </si>
  <si>
    <t>integrate-series; exp, sin, cos series</t>
  </si>
  <si>
    <t>Ex 3.60</t>
  </si>
  <si>
    <t>mul-series</t>
  </si>
  <si>
    <t>Ex 3.63</t>
  </si>
  <si>
    <t>Why Louis's sqrt-stream is slow</t>
  </si>
  <si>
    <t>Ex 3.66</t>
  </si>
  <si>
    <t>Order of pairs</t>
  </si>
  <si>
    <t>Ex 3.68</t>
  </si>
  <si>
    <t>Louis's pairs without delay</t>
  </si>
  <si>
    <t>Ex 3.70</t>
  </si>
  <si>
    <t>merge-weighted</t>
  </si>
  <si>
    <t>Ex 3.71</t>
  </si>
  <si>
    <t>Ramanujan numbers</t>
  </si>
  <si>
    <t>Ex 3.77</t>
  </si>
  <si>
    <t>integral with a delayed integrand</t>
  </si>
  <si>
    <t>Ex 3.78</t>
  </si>
  <si>
    <t>solve-2nd (second-order ODEs)</t>
  </si>
  <si>
    <t>Ex 3.81</t>
  </si>
  <si>
    <t>Functional rand stream (generate/reset)</t>
  </si>
  <si>
    <t>—</t>
  </si>
  <si>
    <t>Fallback lectures reserve</t>
  </si>
  <si>
    <t>Reserve</t>
  </si>
  <si>
    <t>Hours held for lectures on topics that don't click. Mark Done when you finish the subject, used or not.</t>
  </si>
  <si>
    <t>2 · Math for CS — MCS (2018 PDF), core chapters</t>
  </si>
  <si>
    <t>Mathematics for Computer Science (Lehman, Leighton &amp; Meyer). Problems sit at the end of each chapter, grouped by section and type (Practice / Class / Homework / Exam). Rows give a count and a rule rather than numbers. Skipped: Ch 11, 13, 16, 21 and §8.3–8.4.</t>
  </si>
  <si>
    <t>Get the MCS PDF</t>
  </si>
  <si>
    <t>courses.csail.mit.edu/6.042/spring18/mcs.pdf. Fallback videos: MIT 6.042J Fall 2010 (Leighton).</t>
  </si>
  <si>
    <t>Ch 1</t>
  </si>
  <si>
    <t>Read Ch 1: What is a Proof?</t>
  </si>
  <si>
    <t>Ch 1 problems ×7</t>
  </si>
  <si>
    <t>Implications, iff, cases, contradiction. Rule: all Practice problems for the sections you read, then Class problems up to the count. Log numbers in Notes.</t>
  </si>
  <si>
    <t>Ch 2</t>
  </si>
  <si>
    <t>Read Ch 2: The Well Ordering Principle</t>
  </si>
  <si>
    <t>Ch 2 problems ×3</t>
  </si>
  <si>
    <t>Use the WOP proof template. Rule: all Practice problems for the sections you read, then Class problems up to the count. Log numbers in Notes.</t>
  </si>
  <si>
    <t>Ch 3</t>
  </si>
  <si>
    <t>Read Ch 3: Logical Formulas</t>
  </si>
  <si>
    <t>Ch 3 problems ×6</t>
  </si>
  <si>
    <t>Equivalence, validity vs. satisfiability, predicate formulas. Rule: all Practice problems for the sections you read, then Class problems up to the count. Log numbers in Notes.</t>
  </si>
  <si>
    <t>Ch 4</t>
  </si>
  <si>
    <t>Read Ch 4: Mathematical Data Types</t>
  </si>
  <si>
    <t>Ch 4 problems ×7</t>
  </si>
  <si>
    <t>Functions and relations (surjective/injective/bijective), finite cardinality. Rule: all Practice problems for the sections you read, then Class problems up to the count. Log numbers in Notes.</t>
  </si>
  <si>
    <t>Ch 5</t>
  </si>
  <si>
    <t>Read Ch 5: Induction</t>
  </si>
  <si>
    <t>Ch 5 problems ×10</t>
  </si>
  <si>
    <t>At least 4 ordinary, 4 strong, and one find-the-flaw problem. Rule: all Practice problems for the sections you read, then Class problems up to the count. Log numbers in Notes.</t>
  </si>
  <si>
    <t>Ch 6</t>
  </si>
  <si>
    <t>Read Ch 6: State Machines</t>
  </si>
  <si>
    <t>Ch 6 problems ×6</t>
  </si>
  <si>
    <t>Invariant Principle, partial correctness and termination, stable matching. Rule: all Practice problems for the sections you read, then Class problems up to the count. Log numbers in Notes.</t>
  </si>
  <si>
    <t>Ch 7</t>
  </si>
  <si>
    <t>Read Ch 7: Recursive Data Types</t>
  </si>
  <si>
    <t>Ch 7 problems ×7</t>
  </si>
  <si>
    <t>Structural induction on strings and expressions (echoes SICP's deriv). Rule: all Practice problems for the sections you read, then Class problems up to the count. Log numbers in Notes.</t>
  </si>
  <si>
    <t>Ch 8</t>
  </si>
  <si>
    <t>Read Ch 8: Infinite Sets (§8.1–8.2 only)</t>
  </si>
  <si>
    <t>Ch 8 problems ×2</t>
  </si>
  <si>
    <t>Diagonal argument and the halting problem. Rule: all Practice problems for the sections you read, then Class problems up to the count. Log numbers in Notes.</t>
  </si>
  <si>
    <t>Ch 9</t>
  </si>
  <si>
    <t>Read Ch 9: Number Theory</t>
  </si>
  <si>
    <t>Ch 9 problems ×12</t>
  </si>
  <si>
    <t>Euclid/Pulverizer, inverses mod n, Euler's theorem, RSA end to end. Rule: all Practice problems for the sections you read, then Class problems up to the count. Log numbers in Notes.</t>
  </si>
  <si>
    <t>Ch 10</t>
  </si>
  <si>
    <t>Read Ch 10: Directed Graphs &amp; Partial Orders</t>
  </si>
  <si>
    <t>Ch 10 problems ×8</t>
  </si>
  <si>
    <t>DAG scheduling and critical paths, partial orders, equivalence relations. Rule: all Practice problems for the sections you read, then Class problems up to the count. Log numbers in Notes.</t>
  </si>
  <si>
    <t>Ch 12</t>
  </si>
  <si>
    <t>Read Ch 12: Simple Graphs</t>
  </si>
  <si>
    <t>Ch 12 problems ×10</t>
  </si>
  <si>
    <t>Handshake lemma, matchings (Hall), coloring, connectivity, trees. Rule: all Practice problems for the sections you read, then Class problems up to the count. Log numbers in Notes.</t>
  </si>
  <si>
    <t>Ch 14</t>
  </si>
  <si>
    <t>Read Ch 14: Sums and Asymptotics</t>
  </si>
  <si>
    <t>Ch 14 problems ×7</t>
  </si>
  <si>
    <t>Closed forms, integral bounds, asymptotic-notation proofs. Rule: all Practice problems for the sections you read, then Class problems up to the count. Log numbers in Notes.</t>
  </si>
  <si>
    <t>Ch 15</t>
  </si>
  <si>
    <t>Read Ch 15: Cardinality Rules</t>
  </si>
  <si>
    <t>Ch 15 problems ×12</t>
  </si>
  <si>
    <t>Bijection and division rules, pigeonhole, inclusion–exclusion, combinatorial proofs. Rule: all Practice problems for the sections you read, then Class problems up to the count. Log numbers in Notes.</t>
  </si>
  <si>
    <t>Ch 17</t>
  </si>
  <si>
    <t>Read Ch 17: Events and Probability Spaces</t>
  </si>
  <si>
    <t>Ch 17 problems ×4</t>
  </si>
  <si>
    <t>Four-step method, birthday principle. Rule: all Practice problems for the sections you read, then Class problems up to the count. Log numbers in Notes.</t>
  </si>
  <si>
    <t>Ch 18</t>
  </si>
  <si>
    <t>Read Ch 18: Conditional Probability</t>
  </si>
  <si>
    <t>Ch 18 problems ×7</t>
  </si>
  <si>
    <t>Tree diagrams, total probability, Bayes, independence. Rule: all Practice problems for the sections you read, then Class problems up to the count. Log numbers in Notes.</t>
  </si>
  <si>
    <t>Ch 19</t>
  </si>
  <si>
    <t>Read Ch 19: Random Variables</t>
  </si>
  <si>
    <t>Ch 19 problems ×6</t>
  </si>
  <si>
    <t>Distributions, linearity of expectation. Rule: all Practice problems for the sections you read, then Class problems up to the count. Log numbers in Notes.</t>
  </si>
  <si>
    <t>Ch 20</t>
  </si>
  <si>
    <t>Read Ch 20: Deviation from the Mean</t>
  </si>
  <si>
    <t>Ch 20 problems ×6</t>
  </si>
  <si>
    <t>Markov, Chebyshev, sampling, Chernoff. Rule: all Practice problems for the sections you read, then Class problems up to the count. Log numbers in Notes.</t>
  </si>
  <si>
    <t>Ch 22</t>
  </si>
  <si>
    <t>Read Ch 22: Recurrences</t>
  </si>
  <si>
    <t>Ch 22 problems ×5</t>
  </si>
  <si>
    <t>Linear recurrences, divide-and-conquer (Akra–Bazzi). Rule: all Practice problems for the sections you read, then Class problems up to the count. Log numbers in Notes.</t>
  </si>
  <si>
    <t>3 · Algorithms — ADM 3rd ed. Part I + 100 LeetCode</t>
  </si>
  <si>
    <t>The Algorithm Design Manual, 3rd ed. Exercise rows are a count per chapter: pick odd-numbered ones so you can check against the solution wiki. The 100 LeetCode problems are grouped by chapter; if a chapter's own LeetCode list names a different problem, swap it in for one of that chapter's picks.</t>
  </si>
  <si>
    <t>Read Ch 1: Introduction to Algorithm Design</t>
  </si>
  <si>
    <t>Ch 1 exercises ×5</t>
  </si>
  <si>
    <t>Counterexamples, proofs of correctness, estimation. Skip induction/summation (done in MCS). Pick odd-numbered ones (worked solutions on algorist.com/algowiki). Log numbers in Notes.</t>
  </si>
  <si>
    <t>Read Ch 2: Algorithm Analysis</t>
  </si>
  <si>
    <t>Ch 2 exercises ×3</t>
  </si>
  <si>
    <t>Big-Oh dominance and loop analysis only; MCS covered the math. Pick odd-numbered ones (worked solutions on algorist.com/algowiki). Log numbers in Notes.</t>
  </si>
  <si>
    <t>Read Ch 3: Data Structures</t>
  </si>
  <si>
    <t>Ch 3 exercises ×5</t>
  </si>
  <si>
    <t>Design a structure for a stated mix of operations. Pick odd-numbered ones (worked solutions on algorist.com/algowiki). Log numbers in Notes.</t>
  </si>
  <si>
    <t>LC 206: Reverse Linked List</t>
  </si>
  <si>
    <t>LeetCode (Easy)</t>
  </si>
  <si>
    <t>LC 21: Merge Two Sorted Lists</t>
  </si>
  <si>
    <t>LC 141: Linked List Cycle</t>
  </si>
  <si>
    <t>LC 19: Remove Nth Node From End of List</t>
  </si>
  <si>
    <t>LeetCode (Medium)</t>
  </si>
  <si>
    <t>LC 143: Reorder List</t>
  </si>
  <si>
    <t>LC 20: Valid Parentheses</t>
  </si>
  <si>
    <t>LC 155: Min Stack</t>
  </si>
  <si>
    <t>LC 232: Implement Queue using Stacks</t>
  </si>
  <si>
    <t>LC 150: Evaluate Reverse Polish Notation</t>
  </si>
  <si>
    <t>LC 739: Daily Temperatures</t>
  </si>
  <si>
    <t>LC 84: Largest Rectangle in Histogram</t>
  </si>
  <si>
    <t>LeetCode (Hard)</t>
  </si>
  <si>
    <t>LC 146: LRU Cache</t>
  </si>
  <si>
    <t>LC 104: Maximum Depth of Binary Tree</t>
  </si>
  <si>
    <t>LC 226: Invert Binary Tree</t>
  </si>
  <si>
    <t>LC 98: Validate Binary Search Tree</t>
  </si>
  <si>
    <t>LC 235: Lowest Common Ancestor of a BST</t>
  </si>
  <si>
    <t>LC 230: Kth Smallest Element in a BST</t>
  </si>
  <si>
    <t>LC 297: Serialize and Deserialize Binary Tree</t>
  </si>
  <si>
    <t>LC 208: Implement Trie (Prefix Tree)</t>
  </si>
  <si>
    <t>Read Ch 4: Sorting</t>
  </si>
  <si>
    <t>Ch 4 exercises ×5</t>
  </si>
  <si>
    <t>Sorting as a tool: applications and interview problems. Pick odd-numbered ones (worked solutions on algorist.com/algowiki). Log numbers in Notes.</t>
  </si>
  <si>
    <t>LC 88: Merge Sorted Array</t>
  </si>
  <si>
    <t>LC 56: Merge Intervals</t>
  </si>
  <si>
    <t>LC 57: Insert Interval</t>
  </si>
  <si>
    <t>LC 75: Sort Colors</t>
  </si>
  <si>
    <t>LC 215: Kth Largest Element in an Array</t>
  </si>
  <si>
    <t>LC 703: Kth Largest Element in a Stream</t>
  </si>
  <si>
    <t>LC 347: Top K Frequent Elements</t>
  </si>
  <si>
    <t>LC 973: K Closest Points to Origin</t>
  </si>
  <si>
    <t>LC 23: Merge k Sorted Lists</t>
  </si>
  <si>
    <t>LC 295: Find Median from Data Stream</t>
  </si>
  <si>
    <t>LC 148: Sort List</t>
  </si>
  <si>
    <t>LC 435: Non-overlapping Intervals</t>
  </si>
  <si>
    <t>LC 179: Largest Number</t>
  </si>
  <si>
    <t>Read Ch 5: Divide and Conquer</t>
  </si>
  <si>
    <t>Ch 5 exercises ×4</t>
  </si>
  <si>
    <t>Binary-search variants and D&amp;C design; recurrences were done in MCS. Pick odd-numbered ones (worked solutions on algorist.com/algowiki). Log numbers in Notes.</t>
  </si>
  <si>
    <t>LC 704: Binary Search</t>
  </si>
  <si>
    <t>LC 35: Search Insert Position</t>
  </si>
  <si>
    <t>LC 33: Search in Rotated Sorted Array</t>
  </si>
  <si>
    <t>LC 153: Find Minimum in Rotated Sorted Array</t>
  </si>
  <si>
    <t>LC 74: Search a 2D Matrix</t>
  </si>
  <si>
    <t>LC 875: Koko Eating Bananas</t>
  </si>
  <si>
    <t>LC 4: Median of Two Sorted Arrays</t>
  </si>
  <si>
    <t>LC 50: Pow(x, n)</t>
  </si>
  <si>
    <t>LC 53: Maximum Subarray</t>
  </si>
  <si>
    <t>LC 315: Count of Smaller Numbers After Self</t>
  </si>
  <si>
    <t>Read Ch 6: Hashing and Randomized Algorithms</t>
  </si>
  <si>
    <t>Ch 6 exercises ×3</t>
  </si>
  <si>
    <t>Hashing and randomized-algorithm problems. Pick odd-numbered ones (worked solutions on algorist.com/algowiki). Log numbers in Notes.</t>
  </si>
  <si>
    <t>LC 1: Two Sum</t>
  </si>
  <si>
    <t>LC 49: Group Anagrams</t>
  </si>
  <si>
    <t>LC 217: Contains Duplicate</t>
  </si>
  <si>
    <t>LC 242: Valid Anagram</t>
  </si>
  <si>
    <t>LC 128: Longest Consecutive Sequence</t>
  </si>
  <si>
    <t>LC 3: Longest Substring Without Repeating Characters</t>
  </si>
  <si>
    <t>LC 560: Subarray Sum Equals K</t>
  </si>
  <si>
    <t>LC 380: Insert Delete GetRandom O(1)</t>
  </si>
  <si>
    <t>LC 382: Linked List Random Node</t>
  </si>
  <si>
    <t>LC 28: Find the Index of the First Occurrence in a String</t>
  </si>
  <si>
    <t>Read Ch 7: Graph Traversal</t>
  </si>
  <si>
    <t>Ch 7 exercises ×5</t>
  </si>
  <si>
    <t>BFS/DFS applications: bipartiteness, articulation points, topological sort. Pick odd-numbered ones (worked solutions on algorist.com/algowiki). Log numbers in Notes.</t>
  </si>
  <si>
    <t>LC 200: Number of Islands</t>
  </si>
  <si>
    <t>LC 133: Clone Graph</t>
  </si>
  <si>
    <t>LC 695: Max Area of Island</t>
  </si>
  <si>
    <t>LC 994: Rotting Oranges</t>
  </si>
  <si>
    <t>LC 417: Pacific Atlantic Water Flow</t>
  </si>
  <si>
    <t>LC 130: Surrounded Regions</t>
  </si>
  <si>
    <t>LC 207: Course Schedule</t>
  </si>
  <si>
    <t>LC 210: Course Schedule II</t>
  </si>
  <si>
    <t>LC 785: Is Graph Bipartite?</t>
  </si>
  <si>
    <t>LC 127: Word Ladder</t>
  </si>
  <si>
    <t>LC 102: Binary Tree Level Order Traversal</t>
  </si>
  <si>
    <t>LC 547: Number of Provinces</t>
  </si>
  <si>
    <t>LC 841: Keys and Rooms</t>
  </si>
  <si>
    <t>LC 1192: Critical Connections in a Network</t>
  </si>
  <si>
    <t>Read Ch 8: Weighted Graph Algorithms</t>
  </si>
  <si>
    <t>Ch 8 exercises ×5</t>
  </si>
  <si>
    <t>Shortest paths, MST, and network-flow modeling. Pick odd-numbered ones (worked solutions on algorist.com/algowiki). Log numbers in Notes.</t>
  </si>
  <si>
    <t>LC 743: Network Delay Time</t>
  </si>
  <si>
    <t>LC 787: Cheapest Flights Within K Stops</t>
  </si>
  <si>
    <t>LC 1584: Min Cost to Connect All Points</t>
  </si>
  <si>
    <t>LC 684: Redundant Connection</t>
  </si>
  <si>
    <t>LC 1631: Path With Minimum Effort</t>
  </si>
  <si>
    <t>LC 778: Swim in Rising Water</t>
  </si>
  <si>
    <t>LC 1334: Find the City With the Smallest Number of Neighbors at a Threshold Distance</t>
  </si>
  <si>
    <t>LC 332: Reconstruct Itinerary</t>
  </si>
  <si>
    <t>Read Ch 9: Combinatorial Search</t>
  </si>
  <si>
    <t>Ch 9 exercises ×3</t>
  </si>
  <si>
    <t>Backtracking and pruning design. Pick odd-numbered ones (worked solutions on algorist.com/algowiki). Log numbers in Notes.</t>
  </si>
  <si>
    <t>LC 78: Subsets</t>
  </si>
  <si>
    <t>LC 46: Permutations</t>
  </si>
  <si>
    <t>LC 39: Combination Sum</t>
  </si>
  <si>
    <t>LC 40: Combination Sum II</t>
  </si>
  <si>
    <t>LC 79: Word Search</t>
  </si>
  <si>
    <t>LC 131: Palindrome Partitioning</t>
  </si>
  <si>
    <t>LC 17: Letter Combinations of a Phone Number</t>
  </si>
  <si>
    <t>LC 51: N-Queens</t>
  </si>
  <si>
    <t>LC 37: Sudoku Solver</t>
  </si>
  <si>
    <t>Read Ch 10: Dynamic Programming</t>
  </si>
  <si>
    <t>Ch 10 exercises ×6</t>
  </si>
  <si>
    <t>DP formulation: state, recurrence, evaluation order. Highest-yield chapter. Pick odd-numbered ones (worked solutions on algorist.com/algowiki). Log numbers in Notes.</t>
  </si>
  <si>
    <t>LC 70: Climbing Stairs</t>
  </si>
  <si>
    <t>LC 198: House Robber</t>
  </si>
  <si>
    <t>LC 213: House Robber II</t>
  </si>
  <si>
    <t>LC 322: Coin Change</t>
  </si>
  <si>
    <t>LC 518: Coin Change II</t>
  </si>
  <si>
    <t>LC 300: Longest Increasing Subsequence</t>
  </si>
  <si>
    <t>LC 1143: Longest Common Subsequence</t>
  </si>
  <si>
    <t>LC 72: Edit Distance</t>
  </si>
  <si>
    <t>LC 5: Longest Palindromic Substring</t>
  </si>
  <si>
    <t>LC 139: Word Break</t>
  </si>
  <si>
    <t>LC 416: Partition Equal Subset Sum</t>
  </si>
  <si>
    <t>LC 62: Unique Paths</t>
  </si>
  <si>
    <t>LC 91: Decode Ways</t>
  </si>
  <si>
    <t>LC 312: Burst Balloons</t>
  </si>
  <si>
    <t>LC 10: Regular Expression Matching</t>
  </si>
  <si>
    <t>Ch 11</t>
  </si>
  <si>
    <t>Read Ch 11: NP-Completeness</t>
  </si>
  <si>
    <t>Ch 11 exercises ×4</t>
  </si>
  <si>
    <t>Prove hardness by reduction from a known NP-complete problem. Pick odd-numbered ones (worked solutions on algorist.com/algowiki). Log numbers in Notes.</t>
  </si>
  <si>
    <t>LC 847: Shortest Path Visiting All Nodes</t>
  </si>
  <si>
    <t>LC 943: Find the Shortest Superstring</t>
  </si>
  <si>
    <t>Read Ch 12: Dealing with Hard Problems</t>
  </si>
  <si>
    <t>Ch 12 exercises ×2</t>
  </si>
  <si>
    <t>Approximation and heuristic design. Pick odd-numbered ones (worked solutions on algorist.com/algowiki). Log numbers in Notes.</t>
  </si>
  <si>
    <t>Part II</t>
  </si>
  <si>
    <t>Skim the Hitchhiker's Guide catalog</t>
  </si>
  <si>
    <t>Learn its layout so you can use it as a reference.</t>
  </si>
  <si>
    <t>4 · Computer Architecture — CS:APP 3rd ed. (NA), Ch 1–6 + 4 labs</t>
  </si>
  <si>
    <t>Computer Systems: A Programmer's Perspective, 3rd ed., North American. Homework numbers are for that edition; if one doesn't match its description, go by the description. Lab self-study handouts: csapp.cs.cmu.edu/3e/labs.html.</t>
  </si>
  <si>
    <t>C ramp</t>
  </si>
  <si>
    <t>Beej's Guide to C or K&amp;R C ch. 1–6: pointers, arrays, structs, malloc, a few small programs.</t>
  </si>
  <si>
    <t>x86-64 Linux environment</t>
  </si>
  <si>
    <t>Labs need x86-64 Linux (native, VM, or Docker). Install gcc, gdb, make.</t>
  </si>
  <si>
    <t>Read Ch 1: A Tour of Computer Systems</t>
  </si>
  <si>
    <t>Practice problems 1.1–1.2</t>
  </si>
  <si>
    <t>Amdahl's law.</t>
  </si>
  <si>
    <t>Read Ch 2: Representing and Manipulating Information</t>
  </si>
  <si>
    <t>Practice problems 2.1–2.54</t>
  </si>
  <si>
    <t>Do them inline as you read; solutions are at the end of the chapter.</t>
  </si>
  <si>
    <t>Data Lab</t>
  </si>
  <si>
    <t>Lab/Project</t>
  </si>
  <si>
    <t>Bit-level puzzles with restricted operators; covers much of the Ch 2 homework.</t>
  </si>
  <si>
    <t>odd_ones (parity in ≤12 ops)</t>
  </si>
  <si>
    <t>saturating_add</t>
  </si>
  <si>
    <t>unsigned_high_prod</t>
  </si>
  <si>
    <t>divide_power2 (round toward zero)</t>
  </si>
  <si>
    <t>Ex 2.82</t>
  </si>
  <si>
    <t>Which int expressions are always true?</t>
  </si>
  <si>
    <t>float_le</t>
  </si>
  <si>
    <t>Ex 2.89</t>
  </si>
  <si>
    <t>Which double expressions are always true?</t>
  </si>
  <si>
    <t>Read Ch 3: Machine-Level Representation of Programs</t>
  </si>
  <si>
    <t>Practice problems 3.1–3.57</t>
  </si>
  <si>
    <t>Inline; solutions at the end of the chapter.</t>
  </si>
  <si>
    <t>Bomb Lab</t>
  </si>
  <si>
    <t>Reverse-engineer a binary with gdb.</t>
  </si>
  <si>
    <t>Attack Lab</t>
  </si>
  <si>
    <t>Code injection and return-oriented programming.</t>
  </si>
  <si>
    <t>Reconstruct loop() from assembly</t>
  </si>
  <si>
    <t>Reconstruct a switch from its jump table</t>
  </si>
  <si>
    <t>Ex 3.67</t>
  </si>
  <si>
    <t>Passing and returning structs (eval/process)</t>
  </si>
  <si>
    <t>Ex 3.69</t>
  </si>
  <si>
    <t>Infer a_struct and CNT</t>
  </si>
  <si>
    <t>Ex 3.72</t>
  </si>
  <si>
    <t>Stack frame with alloca</t>
  </si>
  <si>
    <t>Read Ch 4: Processor Architecture</t>
  </si>
  <si>
    <t>All Ch 4 practice problems (4.1 up to 4.44)</t>
  </si>
  <si>
    <t>Ex 4.47</t>
  </si>
  <si>
    <t>Bubble sort in Y86-64</t>
  </si>
  <si>
    <t>Ex 4.51</t>
  </si>
  <si>
    <t>iaddq: stage-by-stage computations</t>
  </si>
  <si>
    <t>Ex 4.52</t>
  </si>
  <si>
    <t>Implement iaddq in seq-full.hcl</t>
  </si>
  <si>
    <t>Ex 4.53</t>
  </si>
  <si>
    <t>Pipeline with stalling instead of forwarding</t>
  </si>
  <si>
    <t>Ex 4.54</t>
  </si>
  <si>
    <t>Implement iaddq in pipe-full.hcl</t>
  </si>
  <si>
    <t>Ex 4.56</t>
  </si>
  <si>
    <t>Backward-taken/forward-not-taken prediction</t>
  </si>
  <si>
    <t>Read Ch 5: Optimizing Program Performance</t>
  </si>
  <si>
    <t>Practice problems 5.1–5.12</t>
  </si>
  <si>
    <t>Ex 5.13</t>
  </si>
  <si>
    <t>Data-flow analysis of an inner product</t>
  </si>
  <si>
    <t>Ex 5.14</t>
  </si>
  <si>
    <t>6×1 loop unrolling</t>
  </si>
  <si>
    <t>Ex 5.15</t>
  </si>
  <si>
    <t>6×6 unrolling</t>
  </si>
  <si>
    <t>Ex 5.17</t>
  </si>
  <si>
    <t>Word-at-a-time memset</t>
  </si>
  <si>
    <t>Ex 5.19</t>
  </si>
  <si>
    <t>Faster prefix sum</t>
  </si>
  <si>
    <t>Read Ch 6: The Memory Hierarchy</t>
  </si>
  <si>
    <t>All Ch 6 practice problems (6.1 up to 6.21)</t>
  </si>
  <si>
    <t>Cache Lab</t>
  </si>
  <si>
    <t>Part A cache simulator, Part B cache-friendly matrix transpose.</t>
  </si>
  <si>
    <t>Ex 6.22</t>
  </si>
  <si>
    <t>Disk capacity optimization</t>
  </si>
  <si>
    <t>Ex 6.26</t>
  </si>
  <si>
    <t>Fill in cache parameters</t>
  </si>
  <si>
    <t>Ex 6.34</t>
  </si>
  <si>
    <t>Transpose: hits and misses</t>
  </si>
  <si>
    <t>Ex 6.37</t>
  </si>
  <si>
    <t>sumA/sumB/sumC miss rates</t>
  </si>
  <si>
    <t>Ex 6.41</t>
  </si>
  <si>
    <t>Clearing a pixel buffer: miss rate</t>
  </si>
  <si>
    <t>Ex 6.44</t>
  </si>
  <si>
    <t>Measure your own memory mountain</t>
  </si>
  <si>
    <t>5 · Languages &amp; Compilers — Nand2Tetris Part II + Crafting Interpreters</t>
  </si>
  <si>
    <t>Nand2Tetris Part II (The Elements of Computing Systems 2e, Ch 7–12) in Python, then Crafting Interpreters minus the overlap. SKIM rows: read fast, then copy that chapter's finished code from github.com/munificent/craftinginterpreters, since each chapter builds on the last.</t>
  </si>
  <si>
    <t>N2T tools + Python project skeleton</t>
  </si>
  <si>
    <t>Download the Nand2Tetris software suite (VM emulator, CPU emulator). Write your translator and compiler in Python.</t>
  </si>
  <si>
    <t>N2T 7</t>
  </si>
  <si>
    <t>Read TECS 2e Ch 7: Virtual Machine I: Processing</t>
  </si>
  <si>
    <t>Project 7</t>
  </si>
  <si>
    <t>VM translator I: stack arithmetic and memory segments → Hack assembly</t>
  </si>
  <si>
    <t>N2T 8</t>
  </si>
  <si>
    <t>Read TECS 2e Ch 8: Virtual Machine II: Control</t>
  </si>
  <si>
    <t>Project 8</t>
  </si>
  <si>
    <t>VM translator II: branching, function call/return, bootstrap</t>
  </si>
  <si>
    <t>N2T 9</t>
  </si>
  <si>
    <t>Read TECS 2e Ch 9: High-Level Language</t>
  </si>
  <si>
    <t>Project 9</t>
  </si>
  <si>
    <t>Write a small Jack program (keep it small)</t>
  </si>
  <si>
    <t>N2T 10</t>
  </si>
  <si>
    <t>Read TECS 2e Ch 10: Compiler I: Syntax Analysis</t>
  </si>
  <si>
    <t>Project 10</t>
  </si>
  <si>
    <t>Jack tokenizer + recursive-descent parser</t>
  </si>
  <si>
    <t>N2T 11</t>
  </si>
  <si>
    <t>Read TECS 2e Ch 11: Compiler II: Code Generation</t>
  </si>
  <si>
    <t>Project 11</t>
  </si>
  <si>
    <t>Symbol tables and code generation to VM code</t>
  </si>
  <si>
    <t>N2T 12</t>
  </si>
  <si>
    <t>Read TECS 2e Ch 12: Operating System</t>
  </si>
  <si>
    <t>Project 12</t>
  </si>
  <si>
    <t>The Jack OS: Math, Memory, String, Array, Screen, Output, Keyboard, Sys</t>
  </si>
  <si>
    <t>CI</t>
  </si>
  <si>
    <t>Java ramp</t>
  </si>
  <si>
    <t>Enough Java for jlox: classes, generics, enums, switch, exceptions.</t>
  </si>
  <si>
    <t>CI 1</t>
  </si>
  <si>
    <t>SKIM: Ch 1 Introduction</t>
  </si>
  <si>
    <t>Quick read.</t>
  </si>
  <si>
    <t>CI 2</t>
  </si>
  <si>
    <t>Read: Ch 2 A Map of the Territory</t>
  </si>
  <si>
    <t>CI Part I</t>
  </si>
  <si>
    <t>CI 3</t>
  </si>
  <si>
    <t>Read: Ch 3 The Lox Language</t>
  </si>
  <si>
    <t>CI 4</t>
  </si>
  <si>
    <t>SKIM: Ch 4 Scanning</t>
  </si>
  <si>
    <t>Covered by N2T project 10. Skim, then copy the chapter's finished code from the book's repo.</t>
  </si>
  <si>
    <t>CI 5</t>
  </si>
  <si>
    <t>Read + build: Ch 5 Representing Code</t>
  </si>
  <si>
    <t>CI Part II (jlox, Java)</t>
  </si>
  <si>
    <t>Challenge 5.3</t>
  </si>
  <si>
    <t>RPN printer visitor. Answers: the repo's note/answers folder.</t>
  </si>
  <si>
    <t>CI 6</t>
  </si>
  <si>
    <t>Read + build: Ch 6 Parsing Expressions</t>
  </si>
  <si>
    <t>Challenge 6.2</t>
  </si>
  <si>
    <t>Add the ?: ternary operator. Answers: the repo's note/answers folder.</t>
  </si>
  <si>
    <t>CI 7</t>
  </si>
  <si>
    <t>Read + build: Ch 7 Evaluating Expressions</t>
  </si>
  <si>
    <t>CI 8</t>
  </si>
  <si>
    <t>Read + build: Ch 8 Statements and State</t>
  </si>
  <si>
    <t>Challenge 8.2</t>
  </si>
  <si>
    <t>Runtime error for uninitialized variables. Answers: the repo's note/answers folder.</t>
  </si>
  <si>
    <t>CI 9</t>
  </si>
  <si>
    <t>Read + build: Ch 9 Control Flow</t>
  </si>
  <si>
    <t>Challenge 9.3</t>
  </si>
  <si>
    <t>Add break statements. Answers: the repo's note/answers folder.</t>
  </si>
  <si>
    <t>CI 10</t>
  </si>
  <si>
    <t>Read + build: Ch 10 Functions</t>
  </si>
  <si>
    <t>Challenge 10.2</t>
  </si>
  <si>
    <t>Anonymous function syntax. Answers: the repo's note/answers folder.</t>
  </si>
  <si>
    <t>CI 11</t>
  </si>
  <si>
    <t>Read + build: Ch 11 Resolving and Binding</t>
  </si>
  <si>
    <t>Challenge 11.3</t>
  </si>
  <si>
    <t>Report unused local variables. Answers: the repo's note/answers folder.</t>
  </si>
  <si>
    <t>CI 12</t>
  </si>
  <si>
    <t>Read + build: Ch 12 Classes</t>
  </si>
  <si>
    <t>Challenge 12.1</t>
  </si>
  <si>
    <t>Static (class) methods. Answers: the repo's note/answers folder.</t>
  </si>
  <si>
    <t>CI 13</t>
  </si>
  <si>
    <t>Read + build: Ch 13 Inheritance</t>
  </si>
  <si>
    <t>Challenge 13.2</t>
  </si>
  <si>
    <t>BETA-style inner() methods. Answers: the repo's note/answers folder.</t>
  </si>
  <si>
    <t>CI 14</t>
  </si>
  <si>
    <t>Read + build: Ch 14 Chunks of Bytecode</t>
  </si>
  <si>
    <t>CI Part III (clox, C)</t>
  </si>
  <si>
    <t>Challenge 14.2</t>
  </si>
  <si>
    <t>OP_CONSTANT_LONG for &gt;256 constants. Answers: the repo's note/answers folder.</t>
  </si>
  <si>
    <t>CI 15</t>
  </si>
  <si>
    <t>Read + build: Ch 15 A Virtual Machine</t>
  </si>
  <si>
    <t>CI 16</t>
  </si>
  <si>
    <t>SKIM: Ch 16 Scanning on Demand</t>
  </si>
  <si>
    <t>CI 17</t>
  </si>
  <si>
    <t>Read + build: Ch 17 Compiling Expressions</t>
  </si>
  <si>
    <t>CI 18</t>
  </si>
  <si>
    <t>Read + build: Ch 18 Types of Values</t>
  </si>
  <si>
    <t>CI 19</t>
  </si>
  <si>
    <t>Read + build: Ch 19 Strings</t>
  </si>
  <si>
    <t>Challenge 19.1</t>
  </si>
  <si>
    <t>Flexible array member for ObjString. Answers: the repo's note/answers folder.</t>
  </si>
  <si>
    <t>CI 20</t>
  </si>
  <si>
    <t>Read + build: Ch 20 Hash Tables</t>
  </si>
  <si>
    <t>CI 21</t>
  </si>
  <si>
    <t>Read + build: Ch 21 Global Variables</t>
  </si>
  <si>
    <t>CI 22</t>
  </si>
  <si>
    <t>SKIM: Ch 22 Local Variables</t>
  </si>
  <si>
    <t>Mostly covered by N2T project 11; read closely only for nested block scoping. Copy the finished code.</t>
  </si>
  <si>
    <t>CI 23</t>
  </si>
  <si>
    <t>SKIM: Ch 23 Jumping Back and Forth</t>
  </si>
  <si>
    <t>Mostly covered by N2T projects 8 and 11; read closely only for jump backpatching. Copy the finished code.</t>
  </si>
  <si>
    <t>CI 24</t>
  </si>
  <si>
    <t>SKIM: Ch 24 Calls and Functions</t>
  </si>
  <si>
    <t>Call frames are covered by N2T project 8. Skim, then copy the chapter's finished code.</t>
  </si>
  <si>
    <t>CI 25</t>
  </si>
  <si>
    <t>Read + build: Ch 25 Closures</t>
  </si>
  <si>
    <t>Challenge 25.1</t>
  </si>
  <si>
    <t>Only wrap functions that capture in closures. Answers: the repo's note/answers folder.</t>
  </si>
  <si>
    <t>CI 26</t>
  </si>
  <si>
    <t>Read + build: Ch 26 Garbage Collection</t>
  </si>
  <si>
    <t>Challenge 26.1</t>
  </si>
  <si>
    <t>A more compact object header. Answers: the repo's note/answers folder.</t>
  </si>
  <si>
    <t>CI 27</t>
  </si>
  <si>
    <t>Read + build: Ch 27 Classes and Instances</t>
  </si>
  <si>
    <t>CI 28</t>
  </si>
  <si>
    <t>Read + build: Ch 28 Methods and Initializers</t>
  </si>
  <si>
    <t>CI 29</t>
  </si>
  <si>
    <t>Read + build: Ch 29 Superclasses</t>
  </si>
  <si>
    <t>CI 30</t>
  </si>
  <si>
    <t>Read + build: Ch 30 Optimization</t>
  </si>
  <si>
    <t>6 · Operating Systems — OSTEP (all) + MIT 6.1810 labs</t>
  </si>
  <si>
    <t>Operating Systems: Three Easy Pieces (free online) plus five MIT 6.1810 xv6 labs. Homework skipped for Ch 9, 10, 21, 33, 38, 41, 44, 45, 48–50.</t>
  </si>
  <si>
    <t>Clone ostep-homework and ostep-projects</t>
  </si>
  <si>
    <t>github.com/remzi-arpacidusseau/ostep-homework (simulators check answers with -c) and .../ostep-projects.</t>
  </si>
  <si>
    <t>Intro</t>
  </si>
  <si>
    <t>Read OSTEP Ch 1–2</t>
  </si>
  <si>
    <t>Virtualization</t>
  </si>
  <si>
    <t>Read Ch 3–11 (CPU virtualization)</t>
  </si>
  <si>
    <t>Ch 4 homework: process-run.py</t>
  </si>
  <si>
    <t>Do every question in the chapter's homework.</t>
  </si>
  <si>
    <t>Ch 5 homework: Process API (C code)</t>
  </si>
  <si>
    <t>Ch 6 homework: Measure syscall and context-switch cost</t>
  </si>
  <si>
    <t>Ch 7 homework: scheduler.py</t>
  </si>
  <si>
    <t>Ch 8 homework: mlfq.py</t>
  </si>
  <si>
    <t>Read Ch 12–24 (memory virtualization)</t>
  </si>
  <si>
    <t>Ch 13</t>
  </si>
  <si>
    <t>Ch 13 homework: Address spaces (memory-user, pmap)</t>
  </si>
  <si>
    <t>Ch 14 homework: Memory API (gdb, valgrind)</t>
  </si>
  <si>
    <t>Ch 15 homework: relocation.py</t>
  </si>
  <si>
    <t>Ch 16</t>
  </si>
  <si>
    <t>Ch 16 homework: segmentation.py</t>
  </si>
  <si>
    <t>Ch 17 homework: malloc.py</t>
  </si>
  <si>
    <t>Ch 18 homework: paging-linear-translate.py</t>
  </si>
  <si>
    <t>Ch 19 homework: Measure TLB size and cost (tlb.c)</t>
  </si>
  <si>
    <t>Ch 20 homework: paging-multilevel-translate.py</t>
  </si>
  <si>
    <t>Ch 22 homework: paging-policy.py</t>
  </si>
  <si>
    <t>Read Ch 25–34 (concurrency)</t>
  </si>
  <si>
    <t>Ch 26</t>
  </si>
  <si>
    <t>Ch 26 homework: x86.py threads</t>
  </si>
  <si>
    <t>Ch 27</t>
  </si>
  <si>
    <t>Ch 27 homework: Thread API with helgrind</t>
  </si>
  <si>
    <t>Ch 28</t>
  </si>
  <si>
    <t>Ch 28 homework: x86.py lock implementations</t>
  </si>
  <si>
    <t>Ch 29</t>
  </si>
  <si>
    <t>Ch 29 homework: Lock-based data structures (C)</t>
  </si>
  <si>
    <t>Ch 30</t>
  </si>
  <si>
    <t>Ch 30 homework: Condition variables (C)</t>
  </si>
  <si>
    <t>Ch 31</t>
  </si>
  <si>
    <t>Ch 31 homework: Semaphores (C)</t>
  </si>
  <si>
    <t>Ch 32</t>
  </si>
  <si>
    <t>Ch 32 homework: Deadlock (vector-deadlock)</t>
  </si>
  <si>
    <t>Persistence</t>
  </si>
  <si>
    <t>Read Ch 35–46 (persistence)</t>
  </si>
  <si>
    <t>Ch 37</t>
  </si>
  <si>
    <t>Ch 37 homework: disk.py</t>
  </si>
  <si>
    <t>Ch 39</t>
  </si>
  <si>
    <t>Ch 39 homework: Files and directories (C: stat, ls, tail, find)</t>
  </si>
  <si>
    <t>Ch 40</t>
  </si>
  <si>
    <t>Ch 40 homework: vsfs.py</t>
  </si>
  <si>
    <t>Ch 42</t>
  </si>
  <si>
    <t>Ch 42 homework: fsck.py</t>
  </si>
  <si>
    <t>Ch 43</t>
  </si>
  <si>
    <t>Ch 43 homework: lfs.py</t>
  </si>
  <si>
    <t>Distribution</t>
  </si>
  <si>
    <t>Read Ch 47–51 (distribution)</t>
  </si>
  <si>
    <t>DDIA and 6.5840 go deeper later.</t>
  </si>
  <si>
    <t>Security</t>
  </si>
  <si>
    <t>Read Ch 52–57 (security)</t>
  </si>
  <si>
    <t>Skim the cryptography chapter; MCS covered RSA.</t>
  </si>
  <si>
    <t>Project</t>
  </si>
  <si>
    <t>OSTEP project: processes-shell (wish)</t>
  </si>
  <si>
    <t>Build a Unix shell: fork/exec/wait, paths, redirection, parallel commands.</t>
  </si>
  <si>
    <t>6.1810</t>
  </si>
  <si>
    <t>Toolchain + xv6 setup</t>
  </si>
  <si>
    <t>Follow the current semester's Tools page at pdos.csail.mit.edu/6.1810.</t>
  </si>
  <si>
    <t>Read xv6 book Ch 1–4, 6–8</t>
  </si>
  <si>
    <t>Interfaces, organization, page tables, traps, locking, scheduling, file system.</t>
  </si>
  <si>
    <t>Lab: util</t>
  </si>
  <si>
    <t>Xv6 and Unix utilities.</t>
  </si>
  <si>
    <t>Lab: syscall</t>
  </si>
  <si>
    <t>Add system calls; tracing.</t>
  </si>
  <si>
    <t>Lab: pgtbl</t>
  </si>
  <si>
    <t>Page tables.</t>
  </si>
  <si>
    <t>Lab: traps</t>
  </si>
  <si>
    <t>Traps, backtrace, alarm.</t>
  </si>
  <si>
    <t>Lab: cow</t>
  </si>
  <si>
    <t>Copy-on-write fork.</t>
  </si>
  <si>
    <t>7 · Computer Networking — Kurose &amp; Ross 9th ed. + Wireshark 9.0</t>
  </si>
  <si>
    <t>Computer Networking: A Top-Down Approach, 9th ed. The free interactive problems are listed one per row; textbook-problem rows are a count per chapter. Wireshark lab solutions are instructor-only, so check your reasoning against the chapter.</t>
  </si>
  <si>
    <t>Install Wireshark; bookmark companion resources</t>
  </si>
  <si>
    <t>Interactive problems: gaia.cs.umass.edu/kurose_ross/interactive/ — Wireshark labs: .../kurose_ross/wireshark.php</t>
  </si>
  <si>
    <t>Read Ch 1: Computer Networks and the Internet</t>
  </si>
  <si>
    <t>Interactive: Circuit Switching</t>
  </si>
  <si>
    <t>Free and self-checking; generate a few instances until it's automatic.</t>
  </si>
  <si>
    <t>Interactive: Packet vs. Circuit Switching (quantitative)</t>
  </si>
  <si>
    <t>Interactive: Car–Caravan Analogy</t>
  </si>
  <si>
    <t>Interactive: One-hop Transmission Delay</t>
  </si>
  <si>
    <t>Interactive: Queuing Delay</t>
  </si>
  <si>
    <t>Interactive: End-to-End Delay</t>
  </si>
  <si>
    <t>Interactive: End-to-End Throughput</t>
  </si>
  <si>
    <t>Interactive: The IP Stack and Protocol Layering</t>
  </si>
  <si>
    <t>Ch 1 textbook problems ×8</t>
  </si>
  <si>
    <t>Favor problems the interactive set doesn't mirror (it notes which ones it mirrors) and the design/why questions. Log numbers in Notes.</t>
  </si>
  <si>
    <t>Wireshark lab (v9.0): Getting Started</t>
  </si>
  <si>
    <t>Read Ch 2: Application Layer</t>
  </si>
  <si>
    <t>Interactive: DNS – Basics</t>
  </si>
  <si>
    <t>Interactive: DNS – Iterative vs. Recursive Query</t>
  </si>
  <si>
    <t>Interactive: DNS and HTTP delays</t>
  </si>
  <si>
    <t>Interactive: HTTP GET</t>
  </si>
  <si>
    <t>Interactive: HTTP RESPONSE</t>
  </si>
  <si>
    <t>Interactive: Browser Caching</t>
  </si>
  <si>
    <t>Interactive: Electronic Mail and SMTP</t>
  </si>
  <si>
    <t>Interactive: Client-server vs. P2P file distribution delays</t>
  </si>
  <si>
    <t>Ch 2 textbook problems ×12</t>
  </si>
  <si>
    <t>Wireshark lab (v9.0): HTTP</t>
  </si>
  <si>
    <t>Wireshark lab (v9.0): DNS</t>
  </si>
  <si>
    <t>Socket assignment: Web Server</t>
  </si>
  <si>
    <t>Described in the book; starter code on the publisher's companion site. In Python.</t>
  </si>
  <si>
    <t>Socket assignment: UDP Pinger</t>
  </si>
  <si>
    <t>Socket assignment: Mail Client (SMTP)</t>
  </si>
  <si>
    <t>Socket assignment: Multi-threaded Web Proxy</t>
  </si>
  <si>
    <t>Read Ch 3: Transport Layer</t>
  </si>
  <si>
    <t>Interactive: Internet checksum</t>
  </si>
  <si>
    <t>Interactive: Reliable data transfer: rdt2.2</t>
  </si>
  <si>
    <t>Interactive: Reliable data transfer: rdt3.0</t>
  </si>
  <si>
    <t>Interactive: TCP sequence and ACK numbers, with segment loss</t>
  </si>
  <si>
    <t>Interactive: TCP RTT and timeout</t>
  </si>
  <si>
    <t>Interactive: TCP congestion window evolution</t>
  </si>
  <si>
    <t>Interactive: TCP retransmissions (ACK loss)</t>
  </si>
  <si>
    <t>Interactive: UDP Mux and Demux</t>
  </si>
  <si>
    <t>Interactive: TCP Mux and Demux</t>
  </si>
  <si>
    <t>Ch 3 textbook problems ×16</t>
  </si>
  <si>
    <t>Wireshark lab (v9.0): TCP</t>
  </si>
  <si>
    <t>Wireshark lab (v9.0): UDP</t>
  </si>
  <si>
    <t>Programming assignment: reliable transport (alternating-bit + Go-Back-N)</t>
  </si>
  <si>
    <t>Read Ch 4: Network Layer: Data Plane</t>
  </si>
  <si>
    <t>Interactive: Longest Prefix Matching</t>
  </si>
  <si>
    <t>Interactive: Packet Scheduling</t>
  </si>
  <si>
    <t>Interactive: Subnet Addressing</t>
  </si>
  <si>
    <t>Interactive: Network Address Translation</t>
  </si>
  <si>
    <t>Interactive: IPv6 Tunneling and Encapsulation</t>
  </si>
  <si>
    <t>Interactive: OpenFlow Flow Tables</t>
  </si>
  <si>
    <t>Ch 4 textbook problems ×12</t>
  </si>
  <si>
    <t>Wireshark lab (v9.0): IP</t>
  </si>
  <si>
    <t>Wireshark lab (v9.0): NAT</t>
  </si>
  <si>
    <t>Wireshark lab (v9.0): DHCP</t>
  </si>
  <si>
    <t>Socket assignment: ICMP Pinger</t>
  </si>
  <si>
    <t>Read Ch 5: Network Layer: Control Plane</t>
  </si>
  <si>
    <t>Interactive: Dijkstra's Link State Algorithm</t>
  </si>
  <si>
    <t>Interactive: Dijkstra's Link State Algorithm – Advanced</t>
  </si>
  <si>
    <t>Interactive: Bellman-Ford Distance Vector</t>
  </si>
  <si>
    <t>Ch 5 textbook problems ×8</t>
  </si>
  <si>
    <t>Read Ch 6: The Link Layer and LANs</t>
  </si>
  <si>
    <t>Interactive: Two-Dimensional Parity</t>
  </si>
  <si>
    <t>Interactive: Cyclic Redundancy Check</t>
  </si>
  <si>
    <t>Interactive: Random Access: Aloha</t>
  </si>
  <si>
    <t>Interactive: Random Access: Collisions</t>
  </si>
  <si>
    <t>Interactive: Link-layer (and network-layer) addressing, forwarding</t>
  </si>
  <si>
    <t>Interactive: Learning Switches – Basic</t>
  </si>
  <si>
    <t>Interactive: Learning Switches – Advanced</t>
  </si>
  <si>
    <t>Ch 6 textbook problems ×8</t>
  </si>
  <si>
    <t>Wireshark lab (v9.0): Ethernet and ARP</t>
  </si>
  <si>
    <t>Read Ch 7: Wireless and Mobile Networks</t>
  </si>
  <si>
    <t>Interactive: CDMA – Basic</t>
  </si>
  <si>
    <t>Interactive: CDMA – Advanced</t>
  </si>
  <si>
    <t>Interactive: 4G Wireless Tunneling</t>
  </si>
  <si>
    <t>Interactive: 4G Wireless Handover</t>
  </si>
  <si>
    <t>Ch 7 textbook problems ×4</t>
  </si>
  <si>
    <t>Wireshark lab (v9.0): 802.11 WiFi (Basic)</t>
  </si>
  <si>
    <t>Read Ch 8: Security in Computer Networks</t>
  </si>
  <si>
    <t>Skim the RSA material; MCS covered it.</t>
  </si>
  <si>
    <t>Ch 8 textbook problems ×6</t>
  </si>
  <si>
    <t>Wireshark lab (v9.0): TLS</t>
  </si>
  <si>
    <t>8 · Databases — CMU 15-445 + DSC 7th ed. + BusTub</t>
  </si>
  <si>
    <t>CMU 15-445 (most recent semester) with Database System Concepts, 7th ed., Ch 12–19 and BusTub Projects 0–3. Project 4 (concurrency control) is an optional stretch outside the budget.</t>
  </si>
  <si>
    <t>Architecture of a Database System</t>
  </si>
  <si>
    <t>Hellerstein, Stonebraker &amp; Hamilton. Read first as the map for everything else.</t>
  </si>
  <si>
    <t>Clone BusTub; C++ toolchain</t>
  </si>
  <si>
    <t>github.com/cmu-db/bustub. Follow the most recent semester's project write-ups at 15445.courses.cs.cmu.edu.</t>
  </si>
  <si>
    <t>P0</t>
  </si>
  <si>
    <t>Project 0: C++ primer</t>
  </si>
  <si>
    <t>Doubles as your C++ ramp.</t>
  </si>
  <si>
    <t>DSC 12</t>
  </si>
  <si>
    <t>Read DSC Ch 12: Physical Storage Systems</t>
  </si>
  <si>
    <t>Read the matching 15-445 lecture notes alongside.</t>
  </si>
  <si>
    <t>Ch 12 practice exercises ×3</t>
  </si>
  <si>
    <t>Practice Exercises only (solutions on db-book.com). Log numbers in Notes.</t>
  </si>
  <si>
    <t>DSC 13</t>
  </si>
  <si>
    <t>Read DSC Ch 13: Data Storage Structures</t>
  </si>
  <si>
    <t>Ch 13 practice exercises ×4</t>
  </si>
  <si>
    <t>Project 1: Buffer Pool Manager</t>
  </si>
  <si>
    <t>BusTub, C++17.</t>
  </si>
  <si>
    <t>DSC 14</t>
  </si>
  <si>
    <t>Read DSC Ch 14: Indexing</t>
  </si>
  <si>
    <t>Ch 14 practice exercises ×6</t>
  </si>
  <si>
    <t>Project 2: Index (hash table or B+tree, per semester)</t>
  </si>
  <si>
    <t>DSC 15</t>
  </si>
  <si>
    <t>Read DSC Ch 15: Query Processing</t>
  </si>
  <si>
    <t>Ch 15 practice exercises ×5</t>
  </si>
  <si>
    <t>DSC 16</t>
  </si>
  <si>
    <t>Read DSC Ch 16: Query Optimization</t>
  </si>
  <si>
    <t>Ch 16 practice exercises ×4</t>
  </si>
  <si>
    <t>Project 3: Query Execution</t>
  </si>
  <si>
    <t>DSC 17</t>
  </si>
  <si>
    <t>Read DSC Ch 17: Transactions</t>
  </si>
  <si>
    <t>Ch 17 practice exercises ×5</t>
  </si>
  <si>
    <t>DSC 18</t>
  </si>
  <si>
    <t>Read DSC Ch 18: Concurrency Control</t>
  </si>
  <si>
    <t>Ch 18 practice exercises ×6</t>
  </si>
  <si>
    <t>DSC 19</t>
  </si>
  <si>
    <t>Read DSC Ch 19: Recovery System</t>
  </si>
  <si>
    <t>Ch 19 practice exercises ×5</t>
  </si>
  <si>
    <t>15-445</t>
  </si>
  <si>
    <t>Homework 1 (SQL; exact topics vary by semester)</t>
  </si>
  <si>
    <t>Written homework from the most recent semester.</t>
  </si>
  <si>
    <t>Homework 2 (Storage; exact topics vary by semester)</t>
  </si>
  <si>
    <t>Homework 3 (Indexes; exact topics vary by semester)</t>
  </si>
  <si>
    <t>Homework 4 (Query execution/optimization; exact topics vary by semester)</t>
  </si>
  <si>
    <t>Homework 5 (Concurrency control &amp; recovery; exact topics vary by semester)</t>
  </si>
  <si>
    <t>9 · Distributed Systems — DDIA 2nd ed. + Gossip Glomers + 6.5840</t>
  </si>
  <si>
    <t>Designing Data-Intensive Applications, 2nd ed. (2026), plus Fly.io's Gossip Glomers (fly.io/dist-sys) and MIT 6.5840 labs in Go (pdos.csail.mit.edu/6.824).</t>
  </si>
  <si>
    <t>Go ramp: A Tour of Go</t>
  </si>
  <si>
    <t>go.dev/tour. Needed for 6.5840; Gossip Glomers is easiest in Go too.</t>
  </si>
  <si>
    <t>DDIA 1</t>
  </si>
  <si>
    <t>Read DDIA Ch 1: Trade-Offs in Data Systems Architecture</t>
  </si>
  <si>
    <t>DDIA 2</t>
  </si>
  <si>
    <t>Read DDIA Ch 2: Defining Nonfunctional Requirements</t>
  </si>
  <si>
    <t>DDIA 3</t>
  </si>
  <si>
    <t>Read DDIA Ch 3: Data Models and Query Languages</t>
  </si>
  <si>
    <t>DDIA 4</t>
  </si>
  <si>
    <t>Read DDIA Ch 4: Storage and Retrieval</t>
  </si>
  <si>
    <t>Skim B-trees/LSM (done in 15-445); focus on column storage and vectorized execution.</t>
  </si>
  <si>
    <t>DDIA 5</t>
  </si>
  <si>
    <t>Read DDIA Ch 5: Encoding and Evolution</t>
  </si>
  <si>
    <t>Gossip Glomers</t>
  </si>
  <si>
    <t>Challenge #1: Echo</t>
  </si>
  <si>
    <t>Get Maelstrom running.</t>
  </si>
  <si>
    <t>Challenge #2: Unique ID Generation</t>
  </si>
  <si>
    <t>DDIA 6</t>
  </si>
  <si>
    <t>Read DDIA Ch 6: Replication</t>
  </si>
  <si>
    <t>DDIA 7</t>
  </si>
  <si>
    <t>Read DDIA Ch 7: Sharding</t>
  </si>
  <si>
    <t>Challenge #3: Broadcast (3a–3e)</t>
  </si>
  <si>
    <t>Single-node through fault-tolerant and efficient multi-node broadcast.</t>
  </si>
  <si>
    <t>DDIA 8</t>
  </si>
  <si>
    <t>Read DDIA Ch 8: Transactions</t>
  </si>
  <si>
    <t>Skim single-node isolation and 2PL (done in 15-445); focus on SSI and distributed transactions.</t>
  </si>
  <si>
    <t>Challenge #4: Grow-Only Counter</t>
  </si>
  <si>
    <t>CRDT-style counter on a sequentially consistent KV store.</t>
  </si>
  <si>
    <t>Challenge #5: Kafka-Style Log (5a–5c)</t>
  </si>
  <si>
    <t>Challenge #6: Totally-Available Transactions (6a–6c)</t>
  </si>
  <si>
    <t>Read uncommitted and read committed.</t>
  </si>
  <si>
    <t>DDIA 9</t>
  </si>
  <si>
    <t>Read DDIA Ch 9: The Trouble with Distributed Systems</t>
  </si>
  <si>
    <t>DDIA 10</t>
  </si>
  <si>
    <t>Read DDIA Ch 10: Consistency and Consensus</t>
  </si>
  <si>
    <t>Papers</t>
  </si>
  <si>
    <t>Paper: MapReduce (Dean &amp; Ghemawat, 2004)</t>
  </si>
  <si>
    <t>6.5840</t>
  </si>
  <si>
    <t>Lab 1: MapReduce</t>
  </si>
  <si>
    <t>Lab 2: Key/Value Server</t>
  </si>
  <si>
    <t>Linearizability under unreliable networks.</t>
  </si>
  <si>
    <t>Paper: Raft, extended version (Ongaro &amp; Ousterhout)</t>
  </si>
  <si>
    <t>Lab 3A: Raft leader election</t>
  </si>
  <si>
    <t>Lab 3B: Raft log</t>
  </si>
  <si>
    <t>Lab 3C: Raft persistence</t>
  </si>
  <si>
    <t>Lab 3D: Raft log compaction</t>
  </si>
  <si>
    <t>DDIA 11</t>
  </si>
  <si>
    <t>Read DDIA Ch 11: Batch Processing</t>
  </si>
  <si>
    <t>DDIA 12</t>
  </si>
  <si>
    <t>Read DDIA Ch 12: Stream Processing</t>
  </si>
  <si>
    <t>DDIA 13</t>
  </si>
  <si>
    <t>Read DDIA Ch 13: A Philosophy of Streaming Systems</t>
  </si>
  <si>
    <t>DDIA 14</t>
  </si>
  <si>
    <t>Read DDIA Ch 14: Doing the Right Thing</t>
  </si>
  <si>
    <t>Paper: GFS (Ghemawat et al., 2003)</t>
  </si>
  <si>
    <t>Paper: ZooKeeper (Hunt et al., 2010)</t>
  </si>
  <si>
    <t>Paper: Spanner (Corbett et al., 2012)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</si>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</sst>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yyyy\-mm\-dd"/>
    <numFmt numFmtId="167" formatCode="0.0#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000000"/>
      <name val="Arial"/>
      <charset val="1"/>
    </font>
    <font>
      <b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u/>
      <sz val="11"/>
      <color rgb="FF0563C1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7E6E6"/>
      </patternFill>
    </fill>
    <fill>
      <patternFill patternType="solid">
        <fgColor rgb="FFEAF1FB"/>
        <b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vertical="center"/>
    </xf>
    <xf numFmtId="9" fontId="5" fillId="0" borderId="1" xfId="0" applyNumberFormat="1" applyFont="1" applyBorder="1" applyAlignment="1">
      <alignment vertical="center"/>
    </xf>
    <xf numFmtId="1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1" fontId="7" fillId="3" borderId="1" xfId="0" applyNumberFormat="1" applyFont="1" applyFill="1" applyBorder="1"/>
    <xf numFmtId="165" fontId="7" fillId="3" borderId="1" xfId="0" applyNumberFormat="1" applyFont="1" applyFill="1" applyBorder="1"/>
    <xf numFmtId="9" fontId="7" fillId="3" borderId="1" xfId="0" applyNumberFormat="1" applyFont="1" applyFill="1" applyBorder="1"/>
    <xf numFmtId="166" fontId="7" fillId="3" borderId="1" xfId="0" applyNumberFormat="1" applyFont="1" applyFill="1" applyBorder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/>
    <xf numFmtId="0" fontId="3" fillId="0" borderId="0" xfId="0" applyFont="1" applyAlignment="1">
      <alignment horizontal="right"/>
    </xf>
    <xf numFmtId="165" fontId="10" fillId="0" borderId="0" xfId="0" applyNumberFormat="1" applyFont="1"/>
    <xf numFmtId="9" fontId="10" fillId="0" borderId="0" xfId="0" applyNumberFormat="1" applyFont="1"/>
    <xf numFmtId="1" fontId="10" fillId="0" borderId="0" xfId="0" applyNumberFormat="1" applyFont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167" fontId="5" fillId="0" borderId="1" xfId="0" applyNumberFormat="1" applyFont="1" applyBorder="1" applyAlignment="1">
      <alignment vertical="top"/>
    </xf>
    <xf numFmtId="0" fontId="5" fillId="4" borderId="1" xfId="0" applyFont="1" applyFill="1" applyBorder="1" applyAlignment="1">
      <alignment vertical="top"/>
    </xf>
    <xf numFmtId="166" fontId="5" fillId="4" borderId="1" xfId="0" applyNumberFormat="1" applyFont="1" applyFill="1" applyBorder="1" applyAlignment="1">
      <alignment vertical="top"/>
    </xf>
    <xf numFmtId="167" fontId="5" fillId="4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29"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ont>
        <strike/>
        <color rgb="FF808080"/>
        <name val="Arial"/>
        <charset val="1"/>
      </font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B3E990D687E3194B/Documents/AppData/Roaming/Microsoft/Excel/TYCS_Study_Plan_Tracker.xlsx" TargetMode="External"/><Relationship Id="rId3" Type="http://schemas.openxmlformats.org/officeDocument/2006/relationships/hyperlink" Target="../../../B3E990D687E3194B/Documents/AppData/Roaming/Microsoft/Excel/TYCS_Study_Plan_Tracker.xlsx" TargetMode="External"/><Relationship Id="rId7" Type="http://schemas.openxmlformats.org/officeDocument/2006/relationships/hyperlink" Target="../../../B3E990D687E3194B/Documents/AppData/Roaming/Microsoft/Excel/TYCS_Study_Plan_Tracker.xlsx" TargetMode="External"/><Relationship Id="rId2" Type="http://schemas.openxmlformats.org/officeDocument/2006/relationships/hyperlink" Target="../../../B3E990D687E3194B/Documents/AppData/Roaming/Microsoft/Excel/TYCS_Study_Plan_Tracker.xlsx" TargetMode="External"/><Relationship Id="rId1" Type="http://schemas.openxmlformats.org/officeDocument/2006/relationships/hyperlink" Target="../../../B3E990D687E3194B/Documents/AppData/Roaming/Microsoft/Excel/TYCS_Study_Plan_Tracker.xlsx" TargetMode="External"/><Relationship Id="rId6" Type="http://schemas.openxmlformats.org/officeDocument/2006/relationships/hyperlink" Target="../../../B3E990D687E3194B/Documents/AppData/Roaming/Microsoft/Excel/TYCS_Study_Plan_Tracker.xlsx" TargetMode="External"/><Relationship Id="rId5" Type="http://schemas.openxmlformats.org/officeDocument/2006/relationships/hyperlink" Target="../../../B3E990D687E3194B/Documents/AppData/Roaming/Microsoft/Excel/TYCS_Study_Plan_Tracker.xlsx" TargetMode="External"/><Relationship Id="rId4" Type="http://schemas.openxmlformats.org/officeDocument/2006/relationships/hyperlink" Target="../../../B3E990D687E3194B/Documents/AppData/Roaming/Microsoft/Excel/TYCS_Study_Plan_Tracker.xlsx" TargetMode="External"/><Relationship Id="rId9" Type="http://schemas.openxmlformats.org/officeDocument/2006/relationships/hyperlink" Target="../../../B3E990D687E3194B/Documents/AppData/Roaming/Microsoft/Excel/TYCS_Study_Plan_Tracker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F6" sqref="F6"/>
    </sheetView>
  </sheetViews>
  <sheetFormatPr defaultColWidth="8.6328125" defaultRowHeight="14.5" x14ac:dyDescent="0.35"/>
  <cols>
    <col min="1" max="1" width="4" customWidth="1"/>
    <col min="2" max="2" width="22" customWidth="1"/>
    <col min="3" max="3" width="38" customWidth="1"/>
    <col min="4" max="5" width="10" customWidth="1"/>
    <col min="6" max="6" width="13" customWidth="1"/>
    <col min="7" max="8" width="10" customWidth="1"/>
    <col min="9" max="10" width="11" customWidth="1"/>
    <col min="11" max="11" width="10" customWidth="1"/>
    <col min="12" max="13" width="12" customWidth="1"/>
    <col min="14" max="14" width="13" customWidth="1"/>
  </cols>
  <sheetData>
    <row r="1" spans="1:14" ht="20" x14ac:dyDescent="0.4">
      <c r="A1" s="1" t="s">
        <v>0</v>
      </c>
    </row>
    <row r="2" spans="1:14" x14ac:dyDescent="0.3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4" spans="1:14" x14ac:dyDescent="0.35">
      <c r="B4" s="2" t="s">
        <v>2</v>
      </c>
      <c r="D4" s="2" t="s">
        <v>3</v>
      </c>
      <c r="F4" s="2" t="s">
        <v>4</v>
      </c>
      <c r="H4" s="2" t="s">
        <v>5</v>
      </c>
      <c r="J4" s="2" t="s">
        <v>6</v>
      </c>
      <c r="L4" s="2" t="s">
        <v>7</v>
      </c>
    </row>
    <row r="5" spans="1:14" ht="20" x14ac:dyDescent="0.4">
      <c r="B5" s="3">
        <f>F17</f>
        <v>1.9128142480550375E-2</v>
      </c>
      <c r="D5" s="4">
        <f>E17</f>
        <v>29.75</v>
      </c>
      <c r="F5" s="4">
        <f>D17</f>
        <v>1555.3000000000002</v>
      </c>
      <c r="H5" s="4">
        <f>K17</f>
        <v>24</v>
      </c>
      <c r="J5" s="5">
        <f>H17</f>
        <v>21</v>
      </c>
      <c r="L5" s="5">
        <f>J17</f>
        <v>0</v>
      </c>
    </row>
    <row r="7" spans="1:14" ht="30" customHeight="1" x14ac:dyDescent="0.35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6</v>
      </c>
      <c r="I7" s="6" t="s">
        <v>15</v>
      </c>
      <c r="J7" s="6" t="s">
        <v>7</v>
      </c>
      <c r="K7" s="6" t="s">
        <v>16</v>
      </c>
      <c r="L7" s="6" t="s">
        <v>17</v>
      </c>
      <c r="M7" s="6" t="s">
        <v>18</v>
      </c>
      <c r="N7" s="6" t="s">
        <v>19</v>
      </c>
    </row>
    <row r="8" spans="1:14" x14ac:dyDescent="0.35">
      <c r="A8" s="7">
        <v>1</v>
      </c>
      <c r="B8" s="8" t="s">
        <v>20</v>
      </c>
      <c r="C8" s="9" t="s">
        <v>21</v>
      </c>
      <c r="D8" s="10">
        <f>SUM('1 Programming'!$G$6:$G$500)-SUMIFS('1 Programming'!$G$6:$G$500,'1 Programming'!$H$6:$H$500,"Skipped")</f>
        <v>180.25</v>
      </c>
      <c r="E8" s="10">
        <f>SUMIFS('1 Programming'!$G$6:$G$500,'1 Programming'!$H$6:$H$500,"Done")</f>
        <v>29.75</v>
      </c>
      <c r="F8" s="11">
        <f t="shared" ref="F8:F17" si="0">IF(D8=0,0,E8/D8)</f>
        <v>0.1650485436893204</v>
      </c>
      <c r="G8" s="12">
        <f>SUMIFS('1 Programming'!$E$6:$E$500,'1 Programming'!$D$6:$D$500,"Exercise")-SUMIFS('1 Programming'!$E$6:$E$500,'1 Programming'!$D$6:$D$500,"Exercise",'1 Programming'!$H$6:$H$500,"Skipped")</f>
        <v>124</v>
      </c>
      <c r="H8" s="12">
        <f>SUMIFS('1 Programming'!$E$6:$E$500,'1 Programming'!$D$6:$D$500,"Exercise",'1 Programming'!$H$6:$H$500,"Done")</f>
        <v>21</v>
      </c>
      <c r="I8" s="12">
        <f>COUNTIFS('1 Programming'!$D$6:$D$500,"Lab/Project")-COUNTIFS('1 Programming'!$D$6:$D$500,"Lab/Project",'1 Programming'!$H$6:$H$500,"Skipped")</f>
        <v>0</v>
      </c>
      <c r="J8" s="12">
        <f>COUNTIFS('1 Programming'!$D$6:$D$500,"Lab/Project",'1 Programming'!$H$6:$H$500,"Done")</f>
        <v>0</v>
      </c>
      <c r="K8" s="10">
        <f>SUM('1 Programming'!$J$6:$J$500)</f>
        <v>24</v>
      </c>
      <c r="L8" s="13">
        <f>IF(COUNT('1 Programming'!$I$6:$I$500)=0,"",MIN('1 Programming'!$I$6:$I$500))</f>
        <v>46288</v>
      </c>
      <c r="M8" s="13">
        <f>IF(COUNT('1 Programming'!$I$6:$I$500)=0,"",MAX('1 Programming'!$I$6:$I$500))</f>
        <v>46318</v>
      </c>
      <c r="N8" s="7" t="str">
        <f>IF(AND(D8&gt;0,E8&gt;=D8-0.001),"Complete",IF(OR(E8&gt;0,COUNTIF('1 Programming'!$H$6:$H$500,"In progress")&gt;0),"In progress","Not started"))</f>
        <v>In progress</v>
      </c>
    </row>
    <row r="9" spans="1:14" x14ac:dyDescent="0.35">
      <c r="A9" s="7">
        <v>2</v>
      </c>
      <c r="B9" s="8" t="s">
        <v>22</v>
      </c>
      <c r="C9" s="9" t="s">
        <v>23</v>
      </c>
      <c r="D9" s="10">
        <f>SUM('2 Math for CS'!$G$6:$G$500)-SUMIFS('2 Math for CS'!$G$6:$G$500,'2 Math for CS'!$H$6:$H$500,"Skipped")</f>
        <v>167</v>
      </c>
      <c r="E9" s="10">
        <f>SUMIFS('2 Math for CS'!$G$6:$G$500,'2 Math for CS'!$H$6:$H$500,"Done")</f>
        <v>0</v>
      </c>
      <c r="F9" s="11">
        <f t="shared" si="0"/>
        <v>0</v>
      </c>
      <c r="G9" s="12">
        <f>SUMIFS('2 Math for CS'!$E$6:$E$500,'2 Math for CS'!$D$6:$D$500,"Exercise")-SUMIFS('2 Math for CS'!$E$6:$E$500,'2 Math for CS'!$D$6:$D$500,"Exercise",'2 Math for CS'!$H$6:$H$500,"Skipped")</f>
        <v>125</v>
      </c>
      <c r="H9" s="12">
        <f>SUMIFS('2 Math for CS'!$E$6:$E$500,'2 Math for CS'!$D$6:$D$500,"Exercise",'2 Math for CS'!$H$6:$H$500,"Done")</f>
        <v>0</v>
      </c>
      <c r="I9" s="12">
        <f>COUNTIFS('2 Math for CS'!$D$6:$D$500,"Lab/Project")-COUNTIFS('2 Math for CS'!$D$6:$D$500,"Lab/Project",'2 Math for CS'!$H$6:$H$500,"Skipped")</f>
        <v>0</v>
      </c>
      <c r="J9" s="12">
        <f>COUNTIFS('2 Math for CS'!$D$6:$D$500,"Lab/Project",'2 Math for CS'!$H$6:$H$500,"Done")</f>
        <v>0</v>
      </c>
      <c r="K9" s="10">
        <f>SUM('2 Math for CS'!$J$6:$J$500)</f>
        <v>0</v>
      </c>
      <c r="L9" s="13" t="str">
        <f>IF(COUNT('2 Math for CS'!$I$6:$I$500)=0,"",MIN('2 Math for CS'!$I$6:$I$500))</f>
        <v/>
      </c>
      <c r="M9" s="13" t="str">
        <f>IF(COUNT('2 Math for CS'!$I$6:$I$500)=0,"",MAX('2 Math for CS'!$I$6:$I$500))</f>
        <v/>
      </c>
      <c r="N9" s="7" t="str">
        <f>IF(AND(D9&gt;0,E9&gt;=D9-0.001),"Complete",IF(OR(E9&gt;0,COUNTIF('2 Math for CS'!$H$6:$H$500,"In progress")&gt;0),"In progress","Not started"))</f>
        <v>Not started</v>
      </c>
    </row>
    <row r="10" spans="1:14" x14ac:dyDescent="0.35">
      <c r="A10" s="7">
        <v>3</v>
      </c>
      <c r="B10" s="8" t="s">
        <v>24</v>
      </c>
      <c r="C10" s="9" t="s">
        <v>25</v>
      </c>
      <c r="D10" s="10">
        <f>SUM('3 Algorithms'!$G$6:$G$500)-SUMIFS('3 Algorithms'!$G$6:$G$500,'3 Algorithms'!$H$6:$H$500,"Skipped")</f>
        <v>177.05000000000004</v>
      </c>
      <c r="E10" s="10">
        <f>SUMIFS('3 Algorithms'!$G$6:$G$500,'3 Algorithms'!$H$6:$H$500,"Done")</f>
        <v>0</v>
      </c>
      <c r="F10" s="11">
        <f t="shared" si="0"/>
        <v>0</v>
      </c>
      <c r="G10" s="12">
        <f>SUMIFS('3 Algorithms'!$E$6:$E$500,'3 Algorithms'!$D$6:$D$500,"Exercise")-SUMIFS('3 Algorithms'!$E$6:$E$500,'3 Algorithms'!$D$6:$D$500,"Exercise",'3 Algorithms'!$H$6:$H$500,"Skipped")</f>
        <v>150</v>
      </c>
      <c r="H10" s="12">
        <f>SUMIFS('3 Algorithms'!$E$6:$E$500,'3 Algorithms'!$D$6:$D$500,"Exercise",'3 Algorithms'!$H$6:$H$500,"Done")</f>
        <v>0</v>
      </c>
      <c r="I10" s="12">
        <f>COUNTIFS('3 Algorithms'!$D$6:$D$500,"Lab/Project")-COUNTIFS('3 Algorithms'!$D$6:$D$500,"Lab/Project",'3 Algorithms'!$H$6:$H$500,"Skipped")</f>
        <v>0</v>
      </c>
      <c r="J10" s="12">
        <f>COUNTIFS('3 Algorithms'!$D$6:$D$500,"Lab/Project",'3 Algorithms'!$H$6:$H$500,"Done")</f>
        <v>0</v>
      </c>
      <c r="K10" s="10">
        <f>SUM('3 Algorithms'!$J$6:$J$500)</f>
        <v>0</v>
      </c>
      <c r="L10" s="13" t="str">
        <f>IF(COUNT('3 Algorithms'!$I$6:$I$500)=0,"",MIN('3 Algorithms'!$I$6:$I$500))</f>
        <v/>
      </c>
      <c r="M10" s="13" t="str">
        <f>IF(COUNT('3 Algorithms'!$I$6:$I$500)=0,"",MAX('3 Algorithms'!$I$6:$I$500))</f>
        <v/>
      </c>
      <c r="N10" s="7" t="str">
        <f>IF(AND(D10&gt;0,E10&gt;=D10-0.001),"Complete",IF(OR(E10&gt;0,COUNTIF('3 Algorithms'!$H$6:$H$500,"In progress")&gt;0),"In progress","Not started"))</f>
        <v>Not started</v>
      </c>
    </row>
    <row r="11" spans="1:14" x14ac:dyDescent="0.35">
      <c r="A11" s="7">
        <v>4</v>
      </c>
      <c r="B11" s="8" t="s">
        <v>26</v>
      </c>
      <c r="C11" s="9" t="s">
        <v>27</v>
      </c>
      <c r="D11" s="10">
        <f>SUM('4 Architecture'!$G$6:$G$500)-SUMIFS('4 Architecture'!$G$6:$G$500,'4 Architecture'!$H$6:$H$500,"Skipped")</f>
        <v>183.8</v>
      </c>
      <c r="E11" s="10">
        <f>SUMIFS('4 Architecture'!$G$6:$G$500,'4 Architecture'!$H$6:$H$500,"Done")</f>
        <v>0</v>
      </c>
      <c r="F11" s="11">
        <f t="shared" si="0"/>
        <v>0</v>
      </c>
      <c r="G11" s="12">
        <f>SUMIFS('4 Architecture'!$E$6:$E$500,'4 Architecture'!$D$6:$D$500,"Exercise")-SUMIFS('4 Architecture'!$E$6:$E$500,'4 Architecture'!$D$6:$D$500,"Exercise",'4 Architecture'!$H$6:$H$500,"Skipped")</f>
        <v>219</v>
      </c>
      <c r="H11" s="12">
        <f>SUMIFS('4 Architecture'!$E$6:$E$500,'4 Architecture'!$D$6:$D$500,"Exercise",'4 Architecture'!$H$6:$H$500,"Done")</f>
        <v>0</v>
      </c>
      <c r="I11" s="12">
        <f>COUNTIFS('4 Architecture'!$D$6:$D$500,"Lab/Project")-COUNTIFS('4 Architecture'!$D$6:$D$500,"Lab/Project",'4 Architecture'!$H$6:$H$500,"Skipped")</f>
        <v>4</v>
      </c>
      <c r="J11" s="12">
        <f>COUNTIFS('4 Architecture'!$D$6:$D$500,"Lab/Project",'4 Architecture'!$H$6:$H$500,"Done")</f>
        <v>0</v>
      </c>
      <c r="K11" s="10">
        <f>SUM('4 Architecture'!$J$6:$J$500)</f>
        <v>0</v>
      </c>
      <c r="L11" s="13" t="str">
        <f>IF(COUNT('4 Architecture'!$I$6:$I$500)=0,"",MIN('4 Architecture'!$I$6:$I$500))</f>
        <v/>
      </c>
      <c r="M11" s="13" t="str">
        <f>IF(COUNT('4 Architecture'!$I$6:$I$500)=0,"",MAX('4 Architecture'!$I$6:$I$500))</f>
        <v/>
      </c>
      <c r="N11" s="7" t="str">
        <f>IF(AND(D11&gt;0,E11&gt;=D11-0.001),"Complete",IF(OR(E11&gt;0,COUNTIF('4 Architecture'!$H$6:$H$500,"In progress")&gt;0),"In progress","Not started"))</f>
        <v>Not started</v>
      </c>
    </row>
    <row r="12" spans="1:14" x14ac:dyDescent="0.35">
      <c r="A12" s="7">
        <v>5</v>
      </c>
      <c r="B12" s="8" t="s">
        <v>28</v>
      </c>
      <c r="C12" s="9" t="s">
        <v>29</v>
      </c>
      <c r="D12" s="10">
        <f>SUM('5 Lang &amp; Compilers'!$G$6:$G$500)-SUMIFS('5 Lang &amp; Compilers'!$G$6:$G$500,'5 Lang &amp; Compilers'!$H$6:$H$500,"Skipped")</f>
        <v>178</v>
      </c>
      <c r="E12" s="10">
        <f>SUMIFS('5 Lang &amp; Compilers'!$G$6:$G$500,'5 Lang &amp; Compilers'!$H$6:$H$500,"Done")</f>
        <v>0</v>
      </c>
      <c r="F12" s="11">
        <f t="shared" si="0"/>
        <v>0</v>
      </c>
      <c r="G12" s="12">
        <f>SUMIFS('5 Lang &amp; Compilers'!$E$6:$E$500,'5 Lang &amp; Compilers'!$D$6:$D$500,"Exercise")-SUMIFS('5 Lang &amp; Compilers'!$E$6:$E$500,'5 Lang &amp; Compilers'!$D$6:$D$500,"Exercise",'5 Lang &amp; Compilers'!$H$6:$H$500,"Skipped")</f>
        <v>12</v>
      </c>
      <c r="H12" s="12">
        <f>SUMIFS('5 Lang &amp; Compilers'!$E$6:$E$500,'5 Lang &amp; Compilers'!$D$6:$D$500,"Exercise",'5 Lang &amp; Compilers'!$H$6:$H$500,"Done")</f>
        <v>0</v>
      </c>
      <c r="I12" s="12">
        <f>COUNTIFS('5 Lang &amp; Compilers'!$D$6:$D$500,"Lab/Project")-COUNTIFS('5 Lang &amp; Compilers'!$D$6:$D$500,"Lab/Project",'5 Lang &amp; Compilers'!$H$6:$H$500,"Skipped")</f>
        <v>6</v>
      </c>
      <c r="J12" s="12">
        <f>COUNTIFS('5 Lang &amp; Compilers'!$D$6:$D$500,"Lab/Project",'5 Lang &amp; Compilers'!$H$6:$H$500,"Done")</f>
        <v>0</v>
      </c>
      <c r="K12" s="10">
        <f>SUM('5 Lang &amp; Compilers'!$J$6:$J$500)</f>
        <v>0</v>
      </c>
      <c r="L12" s="13" t="str">
        <f>IF(COUNT('5 Lang &amp; Compilers'!$I$6:$I$500)=0,"",MIN('5 Lang &amp; Compilers'!$I$6:$I$500))</f>
        <v/>
      </c>
      <c r="M12" s="13" t="str">
        <f>IF(COUNT('5 Lang &amp; Compilers'!$I$6:$I$500)=0,"",MAX('5 Lang &amp; Compilers'!$I$6:$I$500))</f>
        <v/>
      </c>
      <c r="N12" s="7" t="str">
        <f>IF(AND(D12&gt;0,E12&gt;=D12-0.001),"Complete",IF(OR(E12&gt;0,COUNTIF('5 Lang &amp; Compilers'!$H$6:$H$500,"In progress")&gt;0),"In progress","Not started"))</f>
        <v>Not started</v>
      </c>
    </row>
    <row r="13" spans="1:14" x14ac:dyDescent="0.35">
      <c r="A13" s="7">
        <v>6</v>
      </c>
      <c r="B13" s="8" t="s">
        <v>30</v>
      </c>
      <c r="C13" s="9" t="s">
        <v>31</v>
      </c>
      <c r="D13" s="10">
        <f>SUM('6 Operating Systems'!$G$6:$G$500)-SUMIFS('6 Operating Systems'!$G$6:$G$500,'6 Operating Systems'!$H$6:$H$500,"Skipped")</f>
        <v>168.5</v>
      </c>
      <c r="E13" s="10">
        <f>SUMIFS('6 Operating Systems'!$G$6:$G$500,'6 Operating Systems'!$H$6:$H$500,"Done")</f>
        <v>0</v>
      </c>
      <c r="F13" s="11">
        <f t="shared" si="0"/>
        <v>0</v>
      </c>
      <c r="G13" s="12">
        <f>SUMIFS('6 Operating Systems'!$E$6:$E$500,'6 Operating Systems'!$D$6:$D$500,"Exercise")-SUMIFS('6 Operating Systems'!$E$6:$E$500,'6 Operating Systems'!$D$6:$D$500,"Exercise",'6 Operating Systems'!$H$6:$H$500,"Skipped")</f>
        <v>26</v>
      </c>
      <c r="H13" s="12">
        <f>SUMIFS('6 Operating Systems'!$E$6:$E$500,'6 Operating Systems'!$D$6:$D$500,"Exercise",'6 Operating Systems'!$H$6:$H$500,"Done")</f>
        <v>0</v>
      </c>
      <c r="I13" s="12">
        <f>COUNTIFS('6 Operating Systems'!$D$6:$D$500,"Lab/Project")-COUNTIFS('6 Operating Systems'!$D$6:$D$500,"Lab/Project",'6 Operating Systems'!$H$6:$H$500,"Skipped")</f>
        <v>6</v>
      </c>
      <c r="J13" s="12">
        <f>COUNTIFS('6 Operating Systems'!$D$6:$D$500,"Lab/Project",'6 Operating Systems'!$H$6:$H$500,"Done")</f>
        <v>0</v>
      </c>
      <c r="K13" s="10">
        <f>SUM('6 Operating Systems'!$J$6:$J$500)</f>
        <v>0</v>
      </c>
      <c r="L13" s="13" t="str">
        <f>IF(COUNT('6 Operating Systems'!$I$6:$I$500)=0,"",MIN('6 Operating Systems'!$I$6:$I$500))</f>
        <v/>
      </c>
      <c r="M13" s="13" t="str">
        <f>IF(COUNT('6 Operating Systems'!$I$6:$I$500)=0,"",MAX('6 Operating Systems'!$I$6:$I$500))</f>
        <v/>
      </c>
      <c r="N13" s="7" t="str">
        <f>IF(AND(D13&gt;0,E13&gt;=D13-0.001),"Complete",IF(OR(E13&gt;0,COUNTIF('6 Operating Systems'!$H$6:$H$500,"In progress")&gt;0),"In progress","Not started"))</f>
        <v>Not started</v>
      </c>
    </row>
    <row r="14" spans="1:14" x14ac:dyDescent="0.35">
      <c r="A14" s="7">
        <v>7</v>
      </c>
      <c r="B14" s="8" t="s">
        <v>32</v>
      </c>
      <c r="C14" s="9" t="s">
        <v>33</v>
      </c>
      <c r="D14" s="10">
        <f>SUM('7 Networking'!$G$6:$G$500)-SUMIFS('7 Networking'!$G$6:$G$500,'7 Networking'!$H$6:$H$500,"Skipped")</f>
        <v>164.49999999999997</v>
      </c>
      <c r="E14" s="10">
        <f>SUMIFS('7 Networking'!$G$6:$G$500,'7 Networking'!$H$6:$H$500,"Done")</f>
        <v>0</v>
      </c>
      <c r="F14" s="11">
        <f t="shared" si="0"/>
        <v>0</v>
      </c>
      <c r="G14" s="12">
        <f>SUMIFS('7 Networking'!$E$6:$E$500,'7 Networking'!$D$6:$D$500,"Exercise")-SUMIFS('7 Networking'!$E$6:$E$500,'7 Networking'!$D$6:$D$500,"Exercise",'7 Networking'!$H$6:$H$500,"Skipped")</f>
        <v>119</v>
      </c>
      <c r="H14" s="12">
        <f>SUMIFS('7 Networking'!$E$6:$E$500,'7 Networking'!$D$6:$D$500,"Exercise",'7 Networking'!$H$6:$H$500,"Done")</f>
        <v>0</v>
      </c>
      <c r="I14" s="12">
        <f>COUNTIFS('7 Networking'!$D$6:$D$500,"Lab/Project")-COUNTIFS('7 Networking'!$D$6:$D$500,"Lab/Project",'7 Networking'!$H$6:$H$500,"Skipped")</f>
        <v>17</v>
      </c>
      <c r="J14" s="12">
        <f>COUNTIFS('7 Networking'!$D$6:$D$500,"Lab/Project",'7 Networking'!$H$6:$H$500,"Done")</f>
        <v>0</v>
      </c>
      <c r="K14" s="10">
        <f>SUM('7 Networking'!$J$6:$J$500)</f>
        <v>0</v>
      </c>
      <c r="L14" s="13" t="str">
        <f>IF(COUNT('7 Networking'!$I$6:$I$500)=0,"",MIN('7 Networking'!$I$6:$I$500))</f>
        <v/>
      </c>
      <c r="M14" s="13" t="str">
        <f>IF(COUNT('7 Networking'!$I$6:$I$500)=0,"",MAX('7 Networking'!$I$6:$I$500))</f>
        <v/>
      </c>
      <c r="N14" s="7" t="str">
        <f>IF(AND(D14&gt;0,E14&gt;=D14-0.001),"Complete",IF(OR(E14&gt;0,COUNTIF('7 Networking'!$H$6:$H$500,"In progress")&gt;0),"In progress","Not started"))</f>
        <v>Not started</v>
      </c>
    </row>
    <row r="15" spans="1:14" x14ac:dyDescent="0.35">
      <c r="A15" s="7">
        <v>8</v>
      </c>
      <c r="B15" s="8" t="s">
        <v>34</v>
      </c>
      <c r="C15" s="9" t="s">
        <v>35</v>
      </c>
      <c r="D15" s="10">
        <f>SUM('8 Databases'!$G$6:$G$500)-SUMIFS('8 Databases'!$G$6:$G$500,'8 Databases'!$H$6:$H$500,"Skipped")</f>
        <v>169.2</v>
      </c>
      <c r="E15" s="10">
        <f>SUMIFS('8 Databases'!$G$6:$G$500,'8 Databases'!$H$6:$H$500,"Done")</f>
        <v>0</v>
      </c>
      <c r="F15" s="11">
        <f t="shared" si="0"/>
        <v>0</v>
      </c>
      <c r="G15" s="12">
        <f>SUMIFS('8 Databases'!$E$6:$E$500,'8 Databases'!$D$6:$D$500,"Exercise")-SUMIFS('8 Databases'!$E$6:$E$500,'8 Databases'!$D$6:$D$500,"Exercise",'8 Databases'!$H$6:$H$500,"Skipped")</f>
        <v>43</v>
      </c>
      <c r="H15" s="12">
        <f>SUMIFS('8 Databases'!$E$6:$E$500,'8 Databases'!$D$6:$D$500,"Exercise",'8 Databases'!$H$6:$H$500,"Done")</f>
        <v>0</v>
      </c>
      <c r="I15" s="12">
        <f>COUNTIFS('8 Databases'!$D$6:$D$500,"Lab/Project")-COUNTIFS('8 Databases'!$D$6:$D$500,"Lab/Project",'8 Databases'!$H$6:$H$500,"Skipped")</f>
        <v>4</v>
      </c>
      <c r="J15" s="12">
        <f>COUNTIFS('8 Databases'!$D$6:$D$500,"Lab/Project",'8 Databases'!$H$6:$H$500,"Done")</f>
        <v>0</v>
      </c>
      <c r="K15" s="10">
        <f>SUM('8 Databases'!$J$6:$J$500)</f>
        <v>0</v>
      </c>
      <c r="L15" s="13" t="str">
        <f>IF(COUNT('8 Databases'!$I$6:$I$500)=0,"",MIN('8 Databases'!$I$6:$I$500))</f>
        <v/>
      </c>
      <c r="M15" s="13" t="str">
        <f>IF(COUNT('8 Databases'!$I$6:$I$500)=0,"",MAX('8 Databases'!$I$6:$I$500))</f>
        <v/>
      </c>
      <c r="N15" s="7" t="str">
        <f>IF(AND(D15&gt;0,E15&gt;=D15-0.001),"Complete",IF(OR(E15&gt;0,COUNTIF('8 Databases'!$H$6:$H$500,"In progress")&gt;0),"In progress","Not started"))</f>
        <v>Not started</v>
      </c>
    </row>
    <row r="16" spans="1:14" x14ac:dyDescent="0.35">
      <c r="A16" s="7">
        <v>9</v>
      </c>
      <c r="B16" s="8" t="s">
        <v>36</v>
      </c>
      <c r="C16" s="9" t="s">
        <v>37</v>
      </c>
      <c r="D16" s="10">
        <f>SUM('9 Distributed'!$G$6:$G$500)-SUMIFS('9 Distributed'!$G$6:$G$500,'9 Distributed'!$H$6:$H$500,"Skipped")</f>
        <v>167</v>
      </c>
      <c r="E16" s="10">
        <f>SUMIFS('9 Distributed'!$G$6:$G$500,'9 Distributed'!$H$6:$H$500,"Done")</f>
        <v>0</v>
      </c>
      <c r="F16" s="11">
        <f t="shared" si="0"/>
        <v>0</v>
      </c>
      <c r="G16" s="12">
        <f>SUMIFS('9 Distributed'!$E$6:$E$500,'9 Distributed'!$D$6:$D$500,"Exercise")-SUMIFS('9 Distributed'!$E$6:$E$500,'9 Distributed'!$D$6:$D$500,"Exercise",'9 Distributed'!$H$6:$H$500,"Skipped")</f>
        <v>0</v>
      </c>
      <c r="H16" s="12">
        <f>SUMIFS('9 Distributed'!$E$6:$E$500,'9 Distributed'!$D$6:$D$500,"Exercise",'9 Distributed'!$H$6:$H$500,"Done")</f>
        <v>0</v>
      </c>
      <c r="I16" s="12">
        <f>COUNTIFS('9 Distributed'!$D$6:$D$500,"Lab/Project")-COUNTIFS('9 Distributed'!$D$6:$D$500,"Lab/Project",'9 Distributed'!$H$6:$H$500,"Skipped")</f>
        <v>12</v>
      </c>
      <c r="J16" s="12">
        <f>COUNTIFS('9 Distributed'!$D$6:$D$500,"Lab/Project",'9 Distributed'!$H$6:$H$500,"Done")</f>
        <v>0</v>
      </c>
      <c r="K16" s="10">
        <f>SUM('9 Distributed'!$J$6:$J$500)</f>
        <v>0</v>
      </c>
      <c r="L16" s="13" t="str">
        <f>IF(COUNT('9 Distributed'!$I$6:$I$500)=0,"",MIN('9 Distributed'!$I$6:$I$500))</f>
        <v/>
      </c>
      <c r="M16" s="13" t="str">
        <f>IF(COUNT('9 Distributed'!$I$6:$I$500)=0,"",MAX('9 Distributed'!$I$6:$I$500))</f>
        <v/>
      </c>
      <c r="N16" s="7" t="str">
        <f>IF(AND(D16&gt;0,E16&gt;=D16-0.001),"Complete",IF(OR(E16&gt;0,COUNTIF('9 Distributed'!$H$6:$H$500,"In progress")&gt;0),"In progress","Not started"))</f>
        <v>Not started</v>
      </c>
    </row>
    <row r="17" spans="1:14" x14ac:dyDescent="0.35">
      <c r="A17" s="14"/>
      <c r="B17" s="14" t="s">
        <v>38</v>
      </c>
      <c r="C17" s="14"/>
      <c r="D17" s="15">
        <f>SUM(D8:D16)</f>
        <v>1555.3000000000002</v>
      </c>
      <c r="E17" s="15">
        <f>SUM(E8:E16)</f>
        <v>29.75</v>
      </c>
      <c r="F17" s="16">
        <f t="shared" si="0"/>
        <v>1.9128142480550375E-2</v>
      </c>
      <c r="G17" s="14">
        <f>SUM(G8:G16)</f>
        <v>818</v>
      </c>
      <c r="H17" s="14">
        <f>SUM(H8:H16)</f>
        <v>21</v>
      </c>
      <c r="I17" s="14">
        <f>SUM(I8:I16)</f>
        <v>49</v>
      </c>
      <c r="J17" s="14">
        <f>SUM(J8:J16)</f>
        <v>0</v>
      </c>
      <c r="K17" s="15">
        <f>SUM(K8:K16)</f>
        <v>24</v>
      </c>
      <c r="L17" s="17">
        <f>IF(COUNT(L8:L16)=0,"",MIN(L8:L16))</f>
        <v>46288</v>
      </c>
      <c r="M17" s="17">
        <f>IF(COUNT(M8:M16)=0,"",MAX(M8:M16))</f>
        <v>46318</v>
      </c>
      <c r="N17" s="14" t="str">
        <f>COUNTIF(N8:N16,"Complete")&amp;" of 9 complete"</f>
        <v>0 of 9 complete</v>
      </c>
    </row>
  </sheetData>
  <mergeCells count="1">
    <mergeCell ref="A2:N2"/>
  </mergeCells>
  <conditionalFormatting sqref="F8:F17">
    <cfRule type="dataBar" priority="2">
      <dataBar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{AF324B6A-AFE7-4646-ABDA-96A6F62F6074}</x14:id>
        </ext>
      </extLst>
    </cfRule>
  </conditionalFormatting>
  <conditionalFormatting sqref="N8:N16">
    <cfRule type="expression" dxfId="28" priority="3">
      <formula>$N8="Complete"</formula>
    </cfRule>
    <cfRule type="expression" dxfId="27" priority="4">
      <formula>$N8="In progress"</formula>
    </cfRule>
  </conditionalFormatting>
  <hyperlinks>
    <hyperlink ref="B8" r:id="rId1" location="'1%20Programming'!A1" xr:uid="{00000000-0004-0000-0000-000000000000}"/>
    <hyperlink ref="B9" r:id="rId2" location="'2%20Math%20for%20CS'!A1" xr:uid="{00000000-0004-0000-0000-000001000000}"/>
    <hyperlink ref="B10" r:id="rId3" location="'3%20Algorithms'!A1" xr:uid="{00000000-0004-0000-0000-000002000000}"/>
    <hyperlink ref="B11" r:id="rId4" location="'4%20Architecture'!A1" xr:uid="{00000000-0004-0000-0000-000003000000}"/>
    <hyperlink ref="B12" r:id="rId5" location="'5%20Lang%20&amp;%20Compilers'!A1" xr:uid="{00000000-0004-0000-0000-000004000000}"/>
    <hyperlink ref="B13" r:id="rId6" location="'6%20Operating%20Systems'!A1" xr:uid="{00000000-0004-0000-0000-000005000000}"/>
    <hyperlink ref="B14" r:id="rId7" location="'7%20Networking'!A1" xr:uid="{00000000-0004-0000-0000-000006000000}"/>
    <hyperlink ref="B15" r:id="rId8" location="'8%20Databases'!A1" xr:uid="{00000000-0004-0000-0000-000007000000}"/>
    <hyperlink ref="B16" r:id="rId9" location="'9%20Distributed'!A1" xr:uid="{00000000-0004-0000-0000-000008000000}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324B6A-AFE7-4646-ABDA-96A6F62F607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5B9BD5"/>
            </x14:dataBar>
          </x14:cfRule>
          <xm:sqref>F8:F17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topLeftCell="A39" zoomScaleNormal="100" workbookViewId="0"/>
  </sheetViews>
  <sheetFormatPr defaultColWidth="8.6328125" defaultRowHeight="14.5" x14ac:dyDescent="0.35"/>
  <cols>
    <col min="1" max="1" width="28" customWidth="1"/>
    <col min="2" max="2" width="110" customWidth="1"/>
  </cols>
  <sheetData>
    <row r="1" spans="1:2" ht="40" x14ac:dyDescent="0.35">
      <c r="A1" s="18" t="s">
        <v>39</v>
      </c>
      <c r="B1" s="19"/>
    </row>
    <row r="3" spans="1:2" ht="15.5" x14ac:dyDescent="0.35">
      <c r="A3" s="20" t="s">
        <v>40</v>
      </c>
      <c r="B3" s="21"/>
    </row>
    <row r="4" spans="1:2" ht="25" x14ac:dyDescent="0.35">
      <c r="A4" s="22" t="s">
        <v>41</v>
      </c>
      <c r="B4" s="23" t="s">
        <v>42</v>
      </c>
    </row>
    <row r="5" spans="1:2" ht="25" x14ac:dyDescent="0.35">
      <c r="A5" s="22" t="s">
        <v>43</v>
      </c>
      <c r="B5" s="23" t="s">
        <v>44</v>
      </c>
    </row>
    <row r="6" spans="1:2" ht="25" x14ac:dyDescent="0.35">
      <c r="A6" s="22" t="s">
        <v>19</v>
      </c>
      <c r="B6" s="23" t="s">
        <v>45</v>
      </c>
    </row>
    <row r="7" spans="1:2" ht="25" x14ac:dyDescent="0.35">
      <c r="A7" s="22" t="s">
        <v>46</v>
      </c>
      <c r="B7" s="23" t="s">
        <v>47</v>
      </c>
    </row>
    <row r="8" spans="1:2" ht="25" x14ac:dyDescent="0.35">
      <c r="A8" s="22" t="s">
        <v>48</v>
      </c>
      <c r="B8" s="23" t="s">
        <v>49</v>
      </c>
    </row>
    <row r="9" spans="1:2" x14ac:dyDescent="0.35">
      <c r="A9" s="22" t="s">
        <v>50</v>
      </c>
      <c r="B9" s="23" t="s">
        <v>51</v>
      </c>
    </row>
    <row r="11" spans="1:2" ht="15.5" x14ac:dyDescent="0.35">
      <c r="A11" s="20" t="s">
        <v>52</v>
      </c>
      <c r="B11" s="21"/>
    </row>
    <row r="12" spans="1:2" ht="25" x14ac:dyDescent="0.35">
      <c r="A12" s="22" t="s">
        <v>53</v>
      </c>
      <c r="B12" s="23" t="s">
        <v>54</v>
      </c>
    </row>
    <row r="14" spans="1:2" ht="31" x14ac:dyDescent="0.35">
      <c r="A14" s="20" t="s">
        <v>55</v>
      </c>
      <c r="B14" s="21"/>
    </row>
    <row r="15" spans="1:2" ht="25" x14ac:dyDescent="0.35">
      <c r="A15" s="22" t="s">
        <v>56</v>
      </c>
      <c r="B15" s="23" t="s">
        <v>57</v>
      </c>
    </row>
    <row r="16" spans="1:2" ht="37.5" x14ac:dyDescent="0.35">
      <c r="A16" s="22" t="s">
        <v>58</v>
      </c>
      <c r="B16" s="23" t="s">
        <v>59</v>
      </c>
    </row>
    <row r="17" spans="1:2" ht="25" x14ac:dyDescent="0.35">
      <c r="A17" s="22" t="s">
        <v>60</v>
      </c>
      <c r="B17" s="23" t="s">
        <v>61</v>
      </c>
    </row>
    <row r="18" spans="1:2" x14ac:dyDescent="0.35">
      <c r="A18" s="22" t="s">
        <v>62</v>
      </c>
      <c r="B18" s="23" t="s">
        <v>63</v>
      </c>
    </row>
    <row r="20" spans="1:2" ht="15.5" x14ac:dyDescent="0.35">
      <c r="A20" s="20" t="s">
        <v>64</v>
      </c>
      <c r="B20" s="21"/>
    </row>
    <row r="21" spans="1:2" x14ac:dyDescent="0.35">
      <c r="A21" s="22" t="s">
        <v>65</v>
      </c>
      <c r="B21" s="23" t="s">
        <v>66</v>
      </c>
    </row>
    <row r="22" spans="1:2" x14ac:dyDescent="0.35">
      <c r="A22" s="22" t="s">
        <v>67</v>
      </c>
      <c r="B22" s="23" t="s">
        <v>68</v>
      </c>
    </row>
    <row r="23" spans="1:2" x14ac:dyDescent="0.35">
      <c r="A23" s="22" t="s">
        <v>69</v>
      </c>
      <c r="B23" s="23" t="s">
        <v>70</v>
      </c>
    </row>
    <row r="24" spans="1:2" x14ac:dyDescent="0.35">
      <c r="A24" s="22" t="s">
        <v>71</v>
      </c>
      <c r="B24" s="23" t="s">
        <v>72</v>
      </c>
    </row>
    <row r="25" spans="1:2" x14ac:dyDescent="0.35">
      <c r="A25" s="22" t="s">
        <v>73</v>
      </c>
      <c r="B25" s="23" t="s">
        <v>74</v>
      </c>
    </row>
    <row r="26" spans="1:2" x14ac:dyDescent="0.35">
      <c r="A26" s="22" t="s">
        <v>75</v>
      </c>
      <c r="B26" s="23" t="s">
        <v>76</v>
      </c>
    </row>
    <row r="27" spans="1:2" x14ac:dyDescent="0.35">
      <c r="A27" s="22" t="s">
        <v>77</v>
      </c>
      <c r="B27" s="23" t="s">
        <v>78</v>
      </c>
    </row>
    <row r="28" spans="1:2" x14ac:dyDescent="0.35">
      <c r="A28" s="22" t="s">
        <v>34</v>
      </c>
      <c r="B28" s="23" t="s">
        <v>79</v>
      </c>
    </row>
    <row r="29" spans="1:2" x14ac:dyDescent="0.35">
      <c r="A29" s="22" t="s">
        <v>80</v>
      </c>
      <c r="B29" s="23" t="s">
        <v>81</v>
      </c>
    </row>
    <row r="31" spans="1:2" ht="31" x14ac:dyDescent="0.35">
      <c r="A31" s="20" t="s">
        <v>82</v>
      </c>
      <c r="B31" s="21"/>
    </row>
    <row r="32" spans="1:2" x14ac:dyDescent="0.35">
      <c r="A32" s="22" t="s">
        <v>83</v>
      </c>
      <c r="B32" s="23" t="s">
        <v>84</v>
      </c>
    </row>
    <row r="33" spans="1:2" x14ac:dyDescent="0.35">
      <c r="A33" s="22" t="s">
        <v>85</v>
      </c>
      <c r="B33" s="23" t="s">
        <v>86</v>
      </c>
    </row>
    <row r="34" spans="1:2" x14ac:dyDescent="0.35">
      <c r="A34" s="22" t="s">
        <v>87</v>
      </c>
      <c r="B34" s="23" t="s">
        <v>88</v>
      </c>
    </row>
    <row r="35" spans="1:2" x14ac:dyDescent="0.35">
      <c r="A35" s="22" t="s">
        <v>89</v>
      </c>
      <c r="B35" s="23" t="s">
        <v>90</v>
      </c>
    </row>
    <row r="36" spans="1:2" x14ac:dyDescent="0.35">
      <c r="A36" s="22" t="s">
        <v>91</v>
      </c>
      <c r="B36" s="23" t="s">
        <v>92</v>
      </c>
    </row>
    <row r="37" spans="1:2" x14ac:dyDescent="0.35">
      <c r="A37" s="22" t="s">
        <v>93</v>
      </c>
      <c r="B37" s="23" t="s">
        <v>94</v>
      </c>
    </row>
    <row r="39" spans="1:2" ht="31" x14ac:dyDescent="0.35">
      <c r="A39" s="20" t="s">
        <v>95</v>
      </c>
      <c r="B39" s="21"/>
    </row>
    <row r="40" spans="1:2" x14ac:dyDescent="0.35">
      <c r="A40" s="22" t="s">
        <v>96</v>
      </c>
      <c r="B40" s="23" t="s">
        <v>97</v>
      </c>
    </row>
    <row r="41" spans="1:2" x14ac:dyDescent="0.35">
      <c r="A41" s="22" t="s">
        <v>98</v>
      </c>
      <c r="B41" s="23" t="s">
        <v>99</v>
      </c>
    </row>
    <row r="42" spans="1:2" x14ac:dyDescent="0.35">
      <c r="A42" s="22" t="s">
        <v>100</v>
      </c>
      <c r="B42" s="23" t="s">
        <v>101</v>
      </c>
    </row>
    <row r="43" spans="1:2" x14ac:dyDescent="0.35">
      <c r="A43" s="22" t="s">
        <v>102</v>
      </c>
      <c r="B43" s="23" t="s">
        <v>103</v>
      </c>
    </row>
    <row r="45" spans="1:2" ht="15.5" x14ac:dyDescent="0.35">
      <c r="A45" s="20" t="s">
        <v>104</v>
      </c>
      <c r="B45" s="21"/>
    </row>
    <row r="46" spans="1:2" x14ac:dyDescent="0.35">
      <c r="A46" s="22" t="s">
        <v>65</v>
      </c>
      <c r="B46" s="23" t="s">
        <v>105</v>
      </c>
    </row>
    <row r="47" spans="1:2" ht="25" x14ac:dyDescent="0.35">
      <c r="A47" s="22" t="s">
        <v>67</v>
      </c>
      <c r="B47" s="23" t="s">
        <v>106</v>
      </c>
    </row>
    <row r="48" spans="1:2" x14ac:dyDescent="0.35">
      <c r="A48" s="22" t="s">
        <v>69</v>
      </c>
      <c r="B48" s="23" t="s">
        <v>107</v>
      </c>
    </row>
    <row r="49" spans="1:2" x14ac:dyDescent="0.35">
      <c r="A49" s="22" t="s">
        <v>71</v>
      </c>
      <c r="B49" s="23" t="s">
        <v>108</v>
      </c>
    </row>
    <row r="50" spans="1:2" x14ac:dyDescent="0.35">
      <c r="A50" s="22" t="s">
        <v>109</v>
      </c>
      <c r="B50" s="23" t="s">
        <v>110</v>
      </c>
    </row>
    <row r="51" spans="1:2" x14ac:dyDescent="0.35">
      <c r="A51" s="22" t="s">
        <v>77</v>
      </c>
      <c r="B51" s="23" t="s">
        <v>111</v>
      </c>
    </row>
    <row r="52" spans="1:2" ht="25" x14ac:dyDescent="0.35">
      <c r="A52" s="22" t="s">
        <v>73</v>
      </c>
      <c r="B52" s="23" t="s">
        <v>112</v>
      </c>
    </row>
    <row r="53" spans="1:2" x14ac:dyDescent="0.35">
      <c r="A53" s="22" t="s">
        <v>113</v>
      </c>
      <c r="B53" s="23" t="s">
        <v>114</v>
      </c>
    </row>
    <row r="54" spans="1:2" ht="25" x14ac:dyDescent="0.35">
      <c r="A54" s="22" t="s">
        <v>75</v>
      </c>
      <c r="B54" s="23" t="s">
        <v>115</v>
      </c>
    </row>
    <row r="55" spans="1:2" ht="25" x14ac:dyDescent="0.35">
      <c r="A55" s="22" t="s">
        <v>34</v>
      </c>
      <c r="B55" s="23" t="s">
        <v>116</v>
      </c>
    </row>
    <row r="56" spans="1:2" x14ac:dyDescent="0.35">
      <c r="A56" s="22" t="s">
        <v>117</v>
      </c>
      <c r="B56" s="23" t="s">
        <v>118</v>
      </c>
    </row>
    <row r="57" spans="1:2" x14ac:dyDescent="0.35">
      <c r="A57" s="22" t="s">
        <v>119</v>
      </c>
      <c r="B57" s="23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4"/>
  <sheetViews>
    <sheetView tabSelected="1" zoomScaleNormal="100" workbookViewId="0">
      <pane xSplit="3" ySplit="5" topLeftCell="D14" activePane="bottomRight" state="frozen"/>
      <selection pane="topRight" activeCell="D1" sqref="D1"/>
      <selection pane="bottomLeft" activeCell="A6" sqref="A6"/>
      <selection pane="bottomRight" activeCell="F33" sqref="F33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121</v>
      </c>
    </row>
    <row r="2" spans="1:11" ht="42" customHeight="1" x14ac:dyDescent="0.35">
      <c r="A2" s="37" t="s">
        <v>122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180.25</v>
      </c>
      <c r="C3" s="25" t="s">
        <v>12</v>
      </c>
      <c r="D3" s="26">
        <f>SUMIFS($G$6:$G$500,$H$6:$H$500,"Done")</f>
        <v>29.75</v>
      </c>
      <c r="E3" s="25" t="s">
        <v>13</v>
      </c>
      <c r="F3" s="27">
        <f>IF(B3=0,0,D3/B3)</f>
        <v>0.1650485436893204</v>
      </c>
      <c r="G3" s="25" t="s">
        <v>6</v>
      </c>
      <c r="H3" s="28">
        <f>SUMIFS($E$6:$E$500,$D$6:$D$500,"Exercise",$H$6:$H$500,"Done")</f>
        <v>21</v>
      </c>
      <c r="I3" s="25" t="s">
        <v>123</v>
      </c>
      <c r="J3" s="28">
        <f>SUMIFS($E$6:$E$500,$D$6:$D$500,"Exercise")-SUMIFS($E$6:$E$500,$D$6:$D$500,"Exercise",$H$6:$H$500,"Skipped")</f>
        <v>124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ht="25" x14ac:dyDescent="0.35">
      <c r="A6" s="29">
        <v>1</v>
      </c>
      <c r="B6" s="29" t="s">
        <v>132</v>
      </c>
      <c r="C6" s="30" t="s">
        <v>133</v>
      </c>
      <c r="D6" s="29" t="s">
        <v>132</v>
      </c>
      <c r="E6" s="29"/>
      <c r="F6" s="30" t="s">
        <v>134</v>
      </c>
      <c r="G6" s="31">
        <v>2</v>
      </c>
      <c r="H6" s="32" t="s">
        <v>1109</v>
      </c>
      <c r="I6" s="33">
        <v>46295</v>
      </c>
      <c r="J6" s="34">
        <v>0.5</v>
      </c>
      <c r="K6" s="35"/>
    </row>
    <row r="7" spans="1:11" x14ac:dyDescent="0.35">
      <c r="A7" s="29">
        <v>2</v>
      </c>
      <c r="B7" s="29" t="s">
        <v>136</v>
      </c>
      <c r="C7" s="36" t="s">
        <v>137</v>
      </c>
      <c r="D7" s="29" t="s">
        <v>138</v>
      </c>
      <c r="E7" s="29"/>
      <c r="F7" s="30"/>
      <c r="G7" s="31">
        <v>4</v>
      </c>
      <c r="H7" s="32" t="s">
        <v>1109</v>
      </c>
      <c r="I7" s="33">
        <v>46288</v>
      </c>
      <c r="J7" s="34">
        <v>2</v>
      </c>
      <c r="K7" s="35"/>
    </row>
    <row r="8" spans="1:11" x14ac:dyDescent="0.35">
      <c r="A8" s="29">
        <v>3</v>
      </c>
      <c r="B8" s="29" t="s">
        <v>136</v>
      </c>
      <c r="C8" s="30" t="s">
        <v>139</v>
      </c>
      <c r="D8" s="29" t="s">
        <v>140</v>
      </c>
      <c r="E8" s="29">
        <v>1</v>
      </c>
      <c r="F8" s="30" t="s">
        <v>141</v>
      </c>
      <c r="G8" s="31">
        <v>0.5</v>
      </c>
      <c r="H8" s="32" t="s">
        <v>1109</v>
      </c>
      <c r="I8" s="33">
        <v>46288</v>
      </c>
      <c r="J8" s="34">
        <v>0.5</v>
      </c>
      <c r="K8" s="35"/>
    </row>
    <row r="9" spans="1:11" x14ac:dyDescent="0.35">
      <c r="A9" s="29">
        <v>4</v>
      </c>
      <c r="B9" s="29" t="s">
        <v>136</v>
      </c>
      <c r="C9" s="30" t="s">
        <v>142</v>
      </c>
      <c r="D9" s="29" t="s">
        <v>140</v>
      </c>
      <c r="E9" s="29">
        <v>1</v>
      </c>
      <c r="F9" s="30" t="s">
        <v>143</v>
      </c>
      <c r="G9" s="31">
        <v>0.5</v>
      </c>
      <c r="H9" s="32" t="s">
        <v>1109</v>
      </c>
      <c r="I9" s="33">
        <v>46289</v>
      </c>
      <c r="J9" s="34">
        <v>0.5</v>
      </c>
      <c r="K9" s="35"/>
    </row>
    <row r="10" spans="1:11" x14ac:dyDescent="0.35">
      <c r="A10" s="29">
        <v>5</v>
      </c>
      <c r="B10" s="29" t="s">
        <v>136</v>
      </c>
      <c r="C10" s="30" t="s">
        <v>144</v>
      </c>
      <c r="D10" s="29" t="s">
        <v>140</v>
      </c>
      <c r="E10" s="29">
        <v>1</v>
      </c>
      <c r="F10" s="30" t="s">
        <v>145</v>
      </c>
      <c r="G10" s="31">
        <v>1</v>
      </c>
      <c r="H10" s="32" t="s">
        <v>1109</v>
      </c>
      <c r="I10" s="33">
        <v>46290</v>
      </c>
      <c r="J10" s="34">
        <v>1</v>
      </c>
      <c r="K10" s="35"/>
    </row>
    <row r="11" spans="1:11" x14ac:dyDescent="0.35">
      <c r="A11" s="29">
        <v>6</v>
      </c>
      <c r="B11" s="29" t="s">
        <v>136</v>
      </c>
      <c r="C11" s="30" t="s">
        <v>146</v>
      </c>
      <c r="D11" s="29" t="s">
        <v>140</v>
      </c>
      <c r="E11" s="29">
        <v>1</v>
      </c>
      <c r="F11" s="30" t="s">
        <v>147</v>
      </c>
      <c r="G11" s="31">
        <v>0.75</v>
      </c>
      <c r="H11" s="32" t="s">
        <v>1109</v>
      </c>
      <c r="I11" s="33">
        <v>46291</v>
      </c>
      <c r="J11" s="34">
        <v>1</v>
      </c>
      <c r="K11" s="35"/>
    </row>
    <row r="12" spans="1:11" ht="26" x14ac:dyDescent="0.35">
      <c r="A12" s="29">
        <v>7</v>
      </c>
      <c r="B12" s="29" t="s">
        <v>148</v>
      </c>
      <c r="C12" s="36" t="s">
        <v>149</v>
      </c>
      <c r="D12" s="29" t="s">
        <v>138</v>
      </c>
      <c r="E12" s="29"/>
      <c r="F12" s="30"/>
      <c r="G12" s="31">
        <v>6</v>
      </c>
      <c r="H12" s="32" t="s">
        <v>1109</v>
      </c>
      <c r="I12" s="33">
        <v>46308</v>
      </c>
      <c r="J12" s="34">
        <v>5</v>
      </c>
      <c r="K12" s="35"/>
    </row>
    <row r="13" spans="1:11" x14ac:dyDescent="0.35">
      <c r="A13" s="29">
        <v>8</v>
      </c>
      <c r="B13" s="29" t="s">
        <v>148</v>
      </c>
      <c r="C13" s="30" t="s">
        <v>150</v>
      </c>
      <c r="D13" s="29" t="s">
        <v>140</v>
      </c>
      <c r="E13" s="29">
        <v>1</v>
      </c>
      <c r="F13" s="30" t="s">
        <v>151</v>
      </c>
      <c r="G13" s="31">
        <v>0.5</v>
      </c>
      <c r="H13" s="32" t="s">
        <v>1109</v>
      </c>
      <c r="I13" s="33">
        <v>46293</v>
      </c>
      <c r="J13" s="34">
        <v>0.5</v>
      </c>
      <c r="K13" s="35"/>
    </row>
    <row r="14" spans="1:11" x14ac:dyDescent="0.35">
      <c r="A14" s="29">
        <v>9</v>
      </c>
      <c r="B14" s="29" t="s">
        <v>148</v>
      </c>
      <c r="C14" s="30" t="s">
        <v>152</v>
      </c>
      <c r="D14" s="29" t="s">
        <v>140</v>
      </c>
      <c r="E14" s="29">
        <v>1</v>
      </c>
      <c r="F14" s="30" t="s">
        <v>153</v>
      </c>
      <c r="G14" s="31">
        <v>1</v>
      </c>
      <c r="H14" s="32" t="s">
        <v>1109</v>
      </c>
      <c r="I14" s="33">
        <v>46293</v>
      </c>
      <c r="J14" s="34">
        <v>0.75</v>
      </c>
      <c r="K14" s="35"/>
    </row>
    <row r="15" spans="1:11" x14ac:dyDescent="0.35">
      <c r="A15" s="29">
        <v>10</v>
      </c>
      <c r="B15" s="29" t="s">
        <v>148</v>
      </c>
      <c r="C15" s="30" t="s">
        <v>154</v>
      </c>
      <c r="D15" s="29" t="s">
        <v>140</v>
      </c>
      <c r="E15" s="29">
        <v>1</v>
      </c>
      <c r="F15" s="30" t="s">
        <v>155</v>
      </c>
      <c r="G15" s="31">
        <v>1.5</v>
      </c>
      <c r="H15" s="32" t="s">
        <v>1109</v>
      </c>
      <c r="I15" s="33">
        <v>46294</v>
      </c>
      <c r="J15" s="34">
        <v>1.5</v>
      </c>
      <c r="K15" s="35"/>
    </row>
    <row r="16" spans="1:11" x14ac:dyDescent="0.35">
      <c r="A16" s="29">
        <v>11</v>
      </c>
      <c r="B16" s="29" t="s">
        <v>148</v>
      </c>
      <c r="C16" s="30" t="s">
        <v>156</v>
      </c>
      <c r="D16" s="29" t="s">
        <v>140</v>
      </c>
      <c r="E16" s="29">
        <v>1</v>
      </c>
      <c r="F16" s="30" t="s">
        <v>157</v>
      </c>
      <c r="G16" s="31">
        <v>1</v>
      </c>
      <c r="H16" s="32" t="s">
        <v>1109</v>
      </c>
      <c r="I16" s="33">
        <v>46300</v>
      </c>
      <c r="J16" s="34">
        <v>1</v>
      </c>
      <c r="K16" s="35"/>
    </row>
    <row r="17" spans="1:11" x14ac:dyDescent="0.35">
      <c r="A17" s="29">
        <v>12</v>
      </c>
      <c r="B17" s="29" t="s">
        <v>148</v>
      </c>
      <c r="C17" s="30" t="s">
        <v>158</v>
      </c>
      <c r="D17" s="29" t="s">
        <v>140</v>
      </c>
      <c r="E17" s="29">
        <v>1</v>
      </c>
      <c r="F17" s="30" t="s">
        <v>159</v>
      </c>
      <c r="G17" s="31">
        <v>0.75</v>
      </c>
      <c r="H17" s="32" t="s">
        <v>1109</v>
      </c>
      <c r="I17" s="33">
        <v>46301</v>
      </c>
      <c r="J17" s="34">
        <v>1</v>
      </c>
      <c r="K17" s="35"/>
    </row>
    <row r="18" spans="1:11" x14ac:dyDescent="0.35">
      <c r="A18" s="29">
        <v>13</v>
      </c>
      <c r="B18" s="29" t="s">
        <v>148</v>
      </c>
      <c r="C18" s="30" t="s">
        <v>160</v>
      </c>
      <c r="D18" s="29" t="s">
        <v>140</v>
      </c>
      <c r="E18" s="29">
        <v>1</v>
      </c>
      <c r="F18" s="30" t="s">
        <v>161</v>
      </c>
      <c r="G18" s="31">
        <v>1.5</v>
      </c>
      <c r="H18" s="32" t="s">
        <v>1109</v>
      </c>
      <c r="I18" s="33">
        <v>46304</v>
      </c>
      <c r="J18" s="34">
        <v>1</v>
      </c>
      <c r="K18" s="35"/>
    </row>
    <row r="19" spans="1:11" x14ac:dyDescent="0.35">
      <c r="A19" s="29">
        <v>14</v>
      </c>
      <c r="B19" s="29" t="s">
        <v>148</v>
      </c>
      <c r="C19" s="30" t="s">
        <v>162</v>
      </c>
      <c r="D19" s="29" t="s">
        <v>140</v>
      </c>
      <c r="E19" s="29">
        <v>1</v>
      </c>
      <c r="F19" s="30" t="s">
        <v>163</v>
      </c>
      <c r="G19" s="31">
        <v>1</v>
      </c>
      <c r="H19" s="32" t="s">
        <v>1109</v>
      </c>
      <c r="I19" s="33">
        <v>46304</v>
      </c>
      <c r="J19" s="34">
        <v>0.5</v>
      </c>
      <c r="K19" s="35"/>
    </row>
    <row r="20" spans="1:11" x14ac:dyDescent="0.35">
      <c r="A20" s="29">
        <v>15</v>
      </c>
      <c r="B20" s="29" t="s">
        <v>148</v>
      </c>
      <c r="C20" s="30" t="s">
        <v>164</v>
      </c>
      <c r="D20" s="29" t="s">
        <v>140</v>
      </c>
      <c r="E20" s="29">
        <v>1</v>
      </c>
      <c r="F20" s="30" t="s">
        <v>165</v>
      </c>
      <c r="G20" s="31">
        <v>1</v>
      </c>
      <c r="H20" s="32" t="s">
        <v>1109</v>
      </c>
      <c r="I20" s="33">
        <v>46305</v>
      </c>
      <c r="J20" s="34">
        <v>1</v>
      </c>
      <c r="K20" s="35"/>
    </row>
    <row r="21" spans="1:11" x14ac:dyDescent="0.35">
      <c r="A21" s="29">
        <v>16</v>
      </c>
      <c r="B21" s="29" t="s">
        <v>148</v>
      </c>
      <c r="C21" s="30" t="s">
        <v>166</v>
      </c>
      <c r="D21" s="29" t="s">
        <v>140</v>
      </c>
      <c r="E21" s="29">
        <v>1</v>
      </c>
      <c r="F21" s="30" t="s">
        <v>167</v>
      </c>
      <c r="G21" s="31">
        <v>0.5</v>
      </c>
      <c r="H21" s="32" t="s">
        <v>1109</v>
      </c>
      <c r="I21" s="33">
        <v>46305</v>
      </c>
      <c r="J21" s="34">
        <v>0.5</v>
      </c>
      <c r="K21" s="35"/>
    </row>
    <row r="22" spans="1:11" x14ac:dyDescent="0.35">
      <c r="A22" s="29">
        <v>17</v>
      </c>
      <c r="B22" s="29" t="s">
        <v>148</v>
      </c>
      <c r="C22" s="30" t="s">
        <v>168</v>
      </c>
      <c r="D22" s="29" t="s">
        <v>140</v>
      </c>
      <c r="E22" s="29">
        <v>1</v>
      </c>
      <c r="F22" s="30" t="s">
        <v>169</v>
      </c>
      <c r="G22" s="31">
        <v>0.5</v>
      </c>
      <c r="H22" s="32" t="s">
        <v>1109</v>
      </c>
      <c r="I22" s="33">
        <v>46306</v>
      </c>
      <c r="J22" s="34">
        <v>0.5</v>
      </c>
      <c r="K22" s="35"/>
    </row>
    <row r="23" spans="1:11" x14ac:dyDescent="0.35">
      <c r="A23" s="29">
        <v>18</v>
      </c>
      <c r="B23" s="29" t="s">
        <v>148</v>
      </c>
      <c r="C23" s="30" t="s">
        <v>170</v>
      </c>
      <c r="D23" s="29" t="s">
        <v>140</v>
      </c>
      <c r="E23" s="29">
        <v>1</v>
      </c>
      <c r="F23" s="30" t="s">
        <v>171</v>
      </c>
      <c r="G23" s="31">
        <v>0.75</v>
      </c>
      <c r="H23" s="32" t="s">
        <v>1109</v>
      </c>
      <c r="I23" s="33">
        <v>46306</v>
      </c>
      <c r="J23" s="34">
        <v>0.75</v>
      </c>
      <c r="K23" s="35"/>
    </row>
    <row r="24" spans="1:11" x14ac:dyDescent="0.35">
      <c r="A24" s="29">
        <v>19</v>
      </c>
      <c r="B24" s="29" t="s">
        <v>148</v>
      </c>
      <c r="C24" s="30" t="s">
        <v>172</v>
      </c>
      <c r="D24" s="29" t="s">
        <v>140</v>
      </c>
      <c r="E24" s="29">
        <v>1</v>
      </c>
      <c r="F24" s="30" t="s">
        <v>173</v>
      </c>
      <c r="G24" s="31">
        <v>1.5</v>
      </c>
      <c r="H24" s="32" t="s">
        <v>1109</v>
      </c>
      <c r="I24" s="33">
        <v>46308</v>
      </c>
      <c r="J24" s="34">
        <v>1.5</v>
      </c>
      <c r="K24" s="35"/>
    </row>
    <row r="25" spans="1:11" x14ac:dyDescent="0.35">
      <c r="A25" s="29">
        <v>20</v>
      </c>
      <c r="B25" s="29" t="s">
        <v>174</v>
      </c>
      <c r="C25" s="36" t="s">
        <v>175</v>
      </c>
      <c r="D25" s="29" t="s">
        <v>138</v>
      </c>
      <c r="E25" s="29"/>
      <c r="F25" s="30"/>
      <c r="G25" s="31">
        <v>4</v>
      </c>
      <c r="H25" s="32" t="s">
        <v>1110</v>
      </c>
      <c r="I25" s="33"/>
      <c r="J25" s="34"/>
      <c r="K25" s="35"/>
    </row>
    <row r="26" spans="1:11" x14ac:dyDescent="0.35">
      <c r="A26" s="29">
        <v>21</v>
      </c>
      <c r="B26" s="29" t="s">
        <v>174</v>
      </c>
      <c r="C26" s="30" t="s">
        <v>176</v>
      </c>
      <c r="D26" s="29" t="s">
        <v>140</v>
      </c>
      <c r="E26" s="29">
        <v>1</v>
      </c>
      <c r="F26" s="30" t="s">
        <v>177</v>
      </c>
      <c r="G26" s="31">
        <v>1</v>
      </c>
      <c r="H26" s="32" t="s">
        <v>1109</v>
      </c>
      <c r="I26" s="33">
        <v>46312</v>
      </c>
      <c r="J26" s="34">
        <v>1</v>
      </c>
      <c r="K26" s="35"/>
    </row>
    <row r="27" spans="1:11" x14ac:dyDescent="0.35">
      <c r="A27" s="29">
        <v>22</v>
      </c>
      <c r="B27" s="29" t="s">
        <v>174</v>
      </c>
      <c r="C27" s="30" t="s">
        <v>178</v>
      </c>
      <c r="D27" s="29" t="s">
        <v>140</v>
      </c>
      <c r="E27" s="29">
        <v>1</v>
      </c>
      <c r="F27" s="30" t="s">
        <v>179</v>
      </c>
      <c r="G27" s="31">
        <v>0.5</v>
      </c>
      <c r="H27" s="32" t="s">
        <v>1109</v>
      </c>
      <c r="I27" s="33">
        <v>46312</v>
      </c>
      <c r="J27" s="34">
        <v>0.5</v>
      </c>
      <c r="K27" s="35"/>
    </row>
    <row r="28" spans="1:11" x14ac:dyDescent="0.35">
      <c r="A28" s="29">
        <v>23</v>
      </c>
      <c r="B28" s="29" t="s">
        <v>174</v>
      </c>
      <c r="C28" s="30" t="s">
        <v>180</v>
      </c>
      <c r="D28" s="29" t="s">
        <v>140</v>
      </c>
      <c r="E28" s="29">
        <v>1</v>
      </c>
      <c r="F28" s="30" t="s">
        <v>181</v>
      </c>
      <c r="G28" s="31">
        <v>1</v>
      </c>
      <c r="H28" s="32" t="s">
        <v>1109</v>
      </c>
      <c r="I28" s="33">
        <v>46312</v>
      </c>
      <c r="J28" s="34">
        <v>0.5</v>
      </c>
      <c r="K28" s="35"/>
    </row>
    <row r="29" spans="1:11" x14ac:dyDescent="0.35">
      <c r="A29" s="29">
        <v>24</v>
      </c>
      <c r="B29" s="29" t="s">
        <v>174</v>
      </c>
      <c r="C29" s="30" t="s">
        <v>182</v>
      </c>
      <c r="D29" s="29" t="s">
        <v>140</v>
      </c>
      <c r="E29" s="29">
        <v>1</v>
      </c>
      <c r="F29" s="30" t="s">
        <v>183</v>
      </c>
      <c r="G29" s="31">
        <v>0.75</v>
      </c>
      <c r="H29" s="32" t="s">
        <v>1109</v>
      </c>
      <c r="I29" s="33">
        <v>46313</v>
      </c>
      <c r="J29" s="34">
        <v>0.75</v>
      </c>
      <c r="K29" s="35"/>
    </row>
    <row r="30" spans="1:11" x14ac:dyDescent="0.35">
      <c r="A30" s="29">
        <v>25</v>
      </c>
      <c r="B30" s="29" t="s">
        <v>174</v>
      </c>
      <c r="C30" s="30" t="s">
        <v>184</v>
      </c>
      <c r="D30" s="29" t="s">
        <v>140</v>
      </c>
      <c r="E30" s="29">
        <v>1</v>
      </c>
      <c r="F30" s="30" t="s">
        <v>185</v>
      </c>
      <c r="G30" s="31">
        <v>0.25</v>
      </c>
      <c r="H30" s="32" t="s">
        <v>1109</v>
      </c>
      <c r="I30" s="33">
        <v>46318</v>
      </c>
      <c r="J30" s="34">
        <v>0.25</v>
      </c>
      <c r="K30" s="35"/>
    </row>
    <row r="31" spans="1:11" x14ac:dyDescent="0.35">
      <c r="A31" s="29">
        <v>26</v>
      </c>
      <c r="B31" s="29" t="s">
        <v>174</v>
      </c>
      <c r="C31" s="30" t="s">
        <v>186</v>
      </c>
      <c r="D31" s="29" t="s">
        <v>140</v>
      </c>
      <c r="E31" s="29">
        <v>1</v>
      </c>
      <c r="F31" s="30" t="s">
        <v>187</v>
      </c>
      <c r="G31" s="31">
        <v>0.5</v>
      </c>
      <c r="H31" s="32" t="s">
        <v>1110</v>
      </c>
      <c r="I31" s="33"/>
      <c r="J31" s="34"/>
      <c r="K31" s="35"/>
    </row>
    <row r="32" spans="1:11" x14ac:dyDescent="0.35">
      <c r="A32" s="29">
        <v>27</v>
      </c>
      <c r="B32" s="29" t="s">
        <v>174</v>
      </c>
      <c r="C32" s="30" t="s">
        <v>188</v>
      </c>
      <c r="D32" s="29" t="s">
        <v>140</v>
      </c>
      <c r="E32" s="29">
        <v>1</v>
      </c>
      <c r="F32" s="30" t="s">
        <v>189</v>
      </c>
      <c r="G32" s="31">
        <v>1</v>
      </c>
      <c r="H32" s="32" t="s">
        <v>135</v>
      </c>
      <c r="I32" s="33"/>
      <c r="J32" s="34"/>
      <c r="K32" s="35"/>
    </row>
    <row r="33" spans="1:11" x14ac:dyDescent="0.35">
      <c r="A33" s="29">
        <v>28</v>
      </c>
      <c r="B33" s="29" t="s">
        <v>174</v>
      </c>
      <c r="C33" s="30" t="s">
        <v>190</v>
      </c>
      <c r="D33" s="29" t="s">
        <v>140</v>
      </c>
      <c r="E33" s="29">
        <v>1</v>
      </c>
      <c r="F33" s="30" t="s">
        <v>191</v>
      </c>
      <c r="G33" s="31">
        <v>0.5</v>
      </c>
      <c r="H33" s="32" t="s">
        <v>135</v>
      </c>
      <c r="I33" s="33"/>
      <c r="J33" s="34"/>
      <c r="K33" s="35"/>
    </row>
    <row r="34" spans="1:11" x14ac:dyDescent="0.35">
      <c r="A34" s="29">
        <v>29</v>
      </c>
      <c r="B34" s="29" t="s">
        <v>174</v>
      </c>
      <c r="C34" s="30" t="s">
        <v>192</v>
      </c>
      <c r="D34" s="29" t="s">
        <v>140</v>
      </c>
      <c r="E34" s="29">
        <v>1</v>
      </c>
      <c r="F34" s="30" t="s">
        <v>193</v>
      </c>
      <c r="G34" s="31">
        <v>0.75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174</v>
      </c>
      <c r="C35" s="30" t="s">
        <v>194</v>
      </c>
      <c r="D35" s="29" t="s">
        <v>140</v>
      </c>
      <c r="E35" s="29">
        <v>1</v>
      </c>
      <c r="F35" s="30" t="s">
        <v>195</v>
      </c>
      <c r="G35" s="31">
        <v>0.25</v>
      </c>
      <c r="H35" s="32" t="s">
        <v>135</v>
      </c>
      <c r="I35" s="33"/>
      <c r="J35" s="34"/>
      <c r="K35" s="35"/>
    </row>
    <row r="36" spans="1:11" x14ac:dyDescent="0.35">
      <c r="A36" s="29">
        <v>31</v>
      </c>
      <c r="B36" s="29" t="s">
        <v>174</v>
      </c>
      <c r="C36" s="30" t="s">
        <v>196</v>
      </c>
      <c r="D36" s="29" t="s">
        <v>140</v>
      </c>
      <c r="E36" s="29">
        <v>1</v>
      </c>
      <c r="F36" s="30" t="s">
        <v>197</v>
      </c>
      <c r="G36" s="31">
        <v>0.5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174</v>
      </c>
      <c r="C37" s="30" t="s">
        <v>198</v>
      </c>
      <c r="D37" s="29" t="s">
        <v>140</v>
      </c>
      <c r="E37" s="29">
        <v>1</v>
      </c>
      <c r="F37" s="30" t="s">
        <v>199</v>
      </c>
      <c r="G37" s="31">
        <v>1.5</v>
      </c>
      <c r="H37" s="32" t="s">
        <v>135</v>
      </c>
      <c r="I37" s="33"/>
      <c r="J37" s="34"/>
      <c r="K37" s="35"/>
    </row>
    <row r="38" spans="1:11" x14ac:dyDescent="0.35">
      <c r="A38" s="29">
        <v>33</v>
      </c>
      <c r="B38" s="29" t="s">
        <v>174</v>
      </c>
      <c r="C38" s="30" t="s">
        <v>200</v>
      </c>
      <c r="D38" s="29" t="s">
        <v>140</v>
      </c>
      <c r="E38" s="29">
        <v>1</v>
      </c>
      <c r="F38" s="30" t="s">
        <v>201</v>
      </c>
      <c r="G38" s="31">
        <v>1</v>
      </c>
      <c r="H38" s="32" t="s">
        <v>135</v>
      </c>
      <c r="I38" s="33"/>
      <c r="J38" s="34"/>
      <c r="K38" s="35"/>
    </row>
    <row r="39" spans="1:11" x14ac:dyDescent="0.35">
      <c r="A39" s="29">
        <v>34</v>
      </c>
      <c r="B39" s="29" t="s">
        <v>202</v>
      </c>
      <c r="C39" s="36" t="s">
        <v>203</v>
      </c>
      <c r="D39" s="29" t="s">
        <v>138</v>
      </c>
      <c r="E39" s="29"/>
      <c r="F39" s="30"/>
      <c r="G39" s="31">
        <v>3</v>
      </c>
      <c r="H39" s="32" t="s">
        <v>135</v>
      </c>
      <c r="I39" s="33"/>
      <c r="J39" s="34"/>
      <c r="K39" s="35"/>
    </row>
    <row r="40" spans="1:11" x14ac:dyDescent="0.35">
      <c r="A40" s="29">
        <v>35</v>
      </c>
      <c r="B40" s="29" t="s">
        <v>202</v>
      </c>
      <c r="C40" s="30" t="s">
        <v>204</v>
      </c>
      <c r="D40" s="29" t="s">
        <v>140</v>
      </c>
      <c r="E40" s="29">
        <v>1</v>
      </c>
      <c r="F40" s="30" t="s">
        <v>205</v>
      </c>
      <c r="G40" s="31">
        <v>0.5</v>
      </c>
      <c r="H40" s="32" t="s">
        <v>135</v>
      </c>
      <c r="I40" s="33"/>
      <c r="J40" s="34"/>
      <c r="K40" s="35"/>
    </row>
    <row r="41" spans="1:11" x14ac:dyDescent="0.35">
      <c r="A41" s="29">
        <v>36</v>
      </c>
      <c r="B41" s="29" t="s">
        <v>202</v>
      </c>
      <c r="C41" s="30" t="s">
        <v>206</v>
      </c>
      <c r="D41" s="29" t="s">
        <v>140</v>
      </c>
      <c r="E41" s="29">
        <v>1</v>
      </c>
      <c r="F41" s="30" t="s">
        <v>207</v>
      </c>
      <c r="G41" s="31">
        <v>1</v>
      </c>
      <c r="H41" s="32" t="s">
        <v>135</v>
      </c>
      <c r="I41" s="33"/>
      <c r="J41" s="34"/>
      <c r="K41" s="35"/>
    </row>
    <row r="42" spans="1:11" x14ac:dyDescent="0.35">
      <c r="A42" s="29">
        <v>37</v>
      </c>
      <c r="B42" s="29" t="s">
        <v>202</v>
      </c>
      <c r="C42" s="30" t="s">
        <v>208</v>
      </c>
      <c r="D42" s="29" t="s">
        <v>140</v>
      </c>
      <c r="E42" s="29">
        <v>1</v>
      </c>
      <c r="F42" s="30" t="s">
        <v>209</v>
      </c>
      <c r="G42" s="31">
        <v>0.75</v>
      </c>
      <c r="H42" s="32" t="s">
        <v>135</v>
      </c>
      <c r="I42" s="33"/>
      <c r="J42" s="34"/>
      <c r="K42" s="35"/>
    </row>
    <row r="43" spans="1:11" x14ac:dyDescent="0.35">
      <c r="A43" s="29">
        <v>38</v>
      </c>
      <c r="B43" s="29" t="s">
        <v>202</v>
      </c>
      <c r="C43" s="30" t="s">
        <v>210</v>
      </c>
      <c r="D43" s="29" t="s">
        <v>140</v>
      </c>
      <c r="E43" s="29">
        <v>1</v>
      </c>
      <c r="F43" s="30" t="s">
        <v>211</v>
      </c>
      <c r="G43" s="31">
        <v>1.5</v>
      </c>
      <c r="H43" s="32" t="s">
        <v>135</v>
      </c>
      <c r="I43" s="33"/>
      <c r="J43" s="34"/>
      <c r="K43" s="35"/>
    </row>
    <row r="44" spans="1:11" x14ac:dyDescent="0.35">
      <c r="A44" s="29">
        <v>39</v>
      </c>
      <c r="B44" s="29" t="s">
        <v>202</v>
      </c>
      <c r="C44" s="30" t="s">
        <v>212</v>
      </c>
      <c r="D44" s="29" t="s">
        <v>140</v>
      </c>
      <c r="E44" s="29">
        <v>1</v>
      </c>
      <c r="F44" s="30" t="s">
        <v>213</v>
      </c>
      <c r="G44" s="31">
        <v>0.25</v>
      </c>
      <c r="H44" s="32" t="s">
        <v>135</v>
      </c>
      <c r="I44" s="33"/>
      <c r="J44" s="34"/>
      <c r="K44" s="35"/>
    </row>
    <row r="45" spans="1:11" x14ac:dyDescent="0.35">
      <c r="A45" s="29">
        <v>40</v>
      </c>
      <c r="B45" s="29" t="s">
        <v>202</v>
      </c>
      <c r="C45" s="30" t="s">
        <v>214</v>
      </c>
      <c r="D45" s="29" t="s">
        <v>140</v>
      </c>
      <c r="E45" s="29">
        <v>1</v>
      </c>
      <c r="F45" s="30" t="s">
        <v>215</v>
      </c>
      <c r="G45" s="31">
        <v>0.25</v>
      </c>
      <c r="H45" s="32" t="s">
        <v>135</v>
      </c>
      <c r="I45" s="33"/>
      <c r="J45" s="34"/>
      <c r="K45" s="35"/>
    </row>
    <row r="46" spans="1:11" x14ac:dyDescent="0.35">
      <c r="A46" s="29">
        <v>41</v>
      </c>
      <c r="B46" s="29" t="s">
        <v>202</v>
      </c>
      <c r="C46" s="30" t="s">
        <v>216</v>
      </c>
      <c r="D46" s="29" t="s">
        <v>140</v>
      </c>
      <c r="E46" s="29">
        <v>1</v>
      </c>
      <c r="F46" s="30" t="s">
        <v>217</v>
      </c>
      <c r="G46" s="31">
        <v>0.75</v>
      </c>
      <c r="H46" s="32" t="s">
        <v>135</v>
      </c>
      <c r="I46" s="33"/>
      <c r="J46" s="34"/>
      <c r="K46" s="35"/>
    </row>
    <row r="47" spans="1:11" x14ac:dyDescent="0.35">
      <c r="A47" s="29">
        <v>42</v>
      </c>
      <c r="B47" s="29" t="s">
        <v>202</v>
      </c>
      <c r="C47" s="30" t="s">
        <v>218</v>
      </c>
      <c r="D47" s="29" t="s">
        <v>140</v>
      </c>
      <c r="E47" s="29">
        <v>1</v>
      </c>
      <c r="F47" s="30" t="s">
        <v>219</v>
      </c>
      <c r="G47" s="31">
        <v>0.5</v>
      </c>
      <c r="H47" s="32" t="s">
        <v>135</v>
      </c>
      <c r="I47" s="33"/>
      <c r="J47" s="34"/>
      <c r="K47" s="35"/>
    </row>
    <row r="48" spans="1:11" x14ac:dyDescent="0.35">
      <c r="A48" s="29">
        <v>43</v>
      </c>
      <c r="B48" s="29" t="s">
        <v>202</v>
      </c>
      <c r="C48" s="30" t="s">
        <v>220</v>
      </c>
      <c r="D48" s="29" t="s">
        <v>140</v>
      </c>
      <c r="E48" s="29">
        <v>1</v>
      </c>
      <c r="F48" s="30" t="s">
        <v>221</v>
      </c>
      <c r="G48" s="31">
        <v>1</v>
      </c>
      <c r="H48" s="32" t="s">
        <v>135</v>
      </c>
      <c r="I48" s="33"/>
      <c r="J48" s="34"/>
      <c r="K48" s="35"/>
    </row>
    <row r="49" spans="1:11" x14ac:dyDescent="0.35">
      <c r="A49" s="29">
        <v>44</v>
      </c>
      <c r="B49" s="29" t="s">
        <v>202</v>
      </c>
      <c r="C49" s="30" t="s">
        <v>222</v>
      </c>
      <c r="D49" s="29" t="s">
        <v>140</v>
      </c>
      <c r="E49" s="29">
        <v>1</v>
      </c>
      <c r="F49" s="30" t="s">
        <v>223</v>
      </c>
      <c r="G49" s="31">
        <v>1</v>
      </c>
      <c r="H49" s="32" t="s">
        <v>135</v>
      </c>
      <c r="I49" s="33"/>
      <c r="J49" s="34"/>
      <c r="K49" s="35"/>
    </row>
    <row r="50" spans="1:11" ht="26" x14ac:dyDescent="0.35">
      <c r="A50" s="29">
        <v>45</v>
      </c>
      <c r="B50" s="29" t="s">
        <v>224</v>
      </c>
      <c r="C50" s="36" t="s">
        <v>225</v>
      </c>
      <c r="D50" s="29" t="s">
        <v>138</v>
      </c>
      <c r="E50" s="29"/>
      <c r="F50" s="30"/>
      <c r="G50" s="31">
        <v>7</v>
      </c>
      <c r="H50" s="32" t="s">
        <v>135</v>
      </c>
      <c r="I50" s="33"/>
      <c r="J50" s="34"/>
      <c r="K50" s="35"/>
    </row>
    <row r="51" spans="1:11" x14ac:dyDescent="0.35">
      <c r="A51" s="29">
        <v>46</v>
      </c>
      <c r="B51" s="29" t="s">
        <v>224</v>
      </c>
      <c r="C51" s="30" t="s">
        <v>226</v>
      </c>
      <c r="D51" s="29" t="s">
        <v>140</v>
      </c>
      <c r="E51" s="29">
        <v>1</v>
      </c>
      <c r="F51" s="30" t="s">
        <v>227</v>
      </c>
      <c r="G51" s="31">
        <v>0.5</v>
      </c>
      <c r="H51" s="32" t="s">
        <v>135</v>
      </c>
      <c r="I51" s="33"/>
      <c r="J51" s="34"/>
      <c r="K51" s="35"/>
    </row>
    <row r="52" spans="1:11" x14ac:dyDescent="0.35">
      <c r="A52" s="29">
        <v>47</v>
      </c>
      <c r="B52" s="29" t="s">
        <v>224</v>
      </c>
      <c r="C52" s="30" t="s">
        <v>228</v>
      </c>
      <c r="D52" s="29" t="s">
        <v>140</v>
      </c>
      <c r="E52" s="29">
        <v>1</v>
      </c>
      <c r="F52" s="30" t="s">
        <v>229</v>
      </c>
      <c r="G52" s="31">
        <v>0.5</v>
      </c>
      <c r="H52" s="32" t="s">
        <v>135</v>
      </c>
      <c r="I52" s="33"/>
      <c r="J52" s="34"/>
      <c r="K52" s="35"/>
    </row>
    <row r="53" spans="1:11" x14ac:dyDescent="0.35">
      <c r="A53" s="29">
        <v>48</v>
      </c>
      <c r="B53" s="29" t="s">
        <v>224</v>
      </c>
      <c r="C53" s="30" t="s">
        <v>230</v>
      </c>
      <c r="D53" s="29" t="s">
        <v>140</v>
      </c>
      <c r="E53" s="29">
        <v>1</v>
      </c>
      <c r="F53" s="30" t="s">
        <v>231</v>
      </c>
      <c r="G53" s="31">
        <v>0.5</v>
      </c>
      <c r="H53" s="32" t="s">
        <v>135</v>
      </c>
      <c r="I53" s="33"/>
      <c r="J53" s="34"/>
      <c r="K53" s="35"/>
    </row>
    <row r="54" spans="1:11" x14ac:dyDescent="0.35">
      <c r="A54" s="29">
        <v>49</v>
      </c>
      <c r="B54" s="29" t="s">
        <v>224</v>
      </c>
      <c r="C54" s="30" t="s">
        <v>232</v>
      </c>
      <c r="D54" s="29" t="s">
        <v>140</v>
      </c>
      <c r="E54" s="29">
        <v>1</v>
      </c>
      <c r="F54" s="30" t="s">
        <v>233</v>
      </c>
      <c r="G54" s="31">
        <v>0.5</v>
      </c>
      <c r="H54" s="32" t="s">
        <v>135</v>
      </c>
      <c r="I54" s="33"/>
      <c r="J54" s="34"/>
      <c r="K54" s="35"/>
    </row>
    <row r="55" spans="1:11" x14ac:dyDescent="0.35">
      <c r="A55" s="29">
        <v>50</v>
      </c>
      <c r="B55" s="29" t="s">
        <v>224</v>
      </c>
      <c r="C55" s="30" t="s">
        <v>234</v>
      </c>
      <c r="D55" s="29" t="s">
        <v>140</v>
      </c>
      <c r="E55" s="29">
        <v>1</v>
      </c>
      <c r="F55" s="30" t="s">
        <v>235</v>
      </c>
      <c r="G55" s="31">
        <v>0.75</v>
      </c>
      <c r="H55" s="32" t="s">
        <v>135</v>
      </c>
      <c r="I55" s="33"/>
      <c r="J55" s="34"/>
      <c r="K55" s="35"/>
    </row>
    <row r="56" spans="1:11" x14ac:dyDescent="0.35">
      <c r="A56" s="29">
        <v>51</v>
      </c>
      <c r="B56" s="29" t="s">
        <v>224</v>
      </c>
      <c r="C56" s="30" t="s">
        <v>236</v>
      </c>
      <c r="D56" s="29" t="s">
        <v>140</v>
      </c>
      <c r="E56" s="29">
        <v>1</v>
      </c>
      <c r="F56" s="30" t="s">
        <v>237</v>
      </c>
      <c r="G56" s="31">
        <v>0.75</v>
      </c>
      <c r="H56" s="32" t="s">
        <v>135</v>
      </c>
      <c r="I56" s="33"/>
      <c r="J56" s="34"/>
      <c r="K56" s="35"/>
    </row>
    <row r="57" spans="1:11" x14ac:dyDescent="0.35">
      <c r="A57" s="29">
        <v>52</v>
      </c>
      <c r="B57" s="29" t="s">
        <v>224</v>
      </c>
      <c r="C57" s="30" t="s">
        <v>238</v>
      </c>
      <c r="D57" s="29" t="s">
        <v>140</v>
      </c>
      <c r="E57" s="29">
        <v>1</v>
      </c>
      <c r="F57" s="30" t="s">
        <v>239</v>
      </c>
      <c r="G57" s="31">
        <v>2</v>
      </c>
      <c r="H57" s="32" t="s">
        <v>135</v>
      </c>
      <c r="I57" s="33"/>
      <c r="J57" s="34"/>
      <c r="K57" s="35"/>
    </row>
    <row r="58" spans="1:11" x14ac:dyDescent="0.35">
      <c r="A58" s="29">
        <v>53</v>
      </c>
      <c r="B58" s="29" t="s">
        <v>224</v>
      </c>
      <c r="C58" s="30" t="s">
        <v>240</v>
      </c>
      <c r="D58" s="29" t="s">
        <v>140</v>
      </c>
      <c r="E58" s="29">
        <v>1</v>
      </c>
      <c r="F58" s="30" t="s">
        <v>241</v>
      </c>
      <c r="G58" s="31">
        <v>0.5</v>
      </c>
      <c r="H58" s="32" t="s">
        <v>135</v>
      </c>
      <c r="I58" s="33"/>
      <c r="J58" s="34"/>
      <c r="K58" s="35"/>
    </row>
    <row r="59" spans="1:11" x14ac:dyDescent="0.35">
      <c r="A59" s="29">
        <v>54</v>
      </c>
      <c r="B59" s="29" t="s">
        <v>224</v>
      </c>
      <c r="C59" s="30" t="s">
        <v>242</v>
      </c>
      <c r="D59" s="29" t="s">
        <v>140</v>
      </c>
      <c r="E59" s="29">
        <v>1</v>
      </c>
      <c r="F59" s="30" t="s">
        <v>243</v>
      </c>
      <c r="G59" s="31">
        <v>1</v>
      </c>
      <c r="H59" s="32" t="s">
        <v>135</v>
      </c>
      <c r="I59" s="33"/>
      <c r="J59" s="34"/>
      <c r="K59" s="35"/>
    </row>
    <row r="60" spans="1:11" x14ac:dyDescent="0.35">
      <c r="A60" s="29">
        <v>55</v>
      </c>
      <c r="B60" s="29" t="s">
        <v>224</v>
      </c>
      <c r="C60" s="30" t="s">
        <v>244</v>
      </c>
      <c r="D60" s="29" t="s">
        <v>140</v>
      </c>
      <c r="E60" s="29">
        <v>1</v>
      </c>
      <c r="F60" s="30" t="s">
        <v>245</v>
      </c>
      <c r="G60" s="31">
        <v>0.75</v>
      </c>
      <c r="H60" s="32" t="s">
        <v>135</v>
      </c>
      <c r="I60" s="33"/>
      <c r="J60" s="34"/>
      <c r="K60" s="35"/>
    </row>
    <row r="61" spans="1:11" x14ac:dyDescent="0.35">
      <c r="A61" s="29">
        <v>56</v>
      </c>
      <c r="B61" s="29" t="s">
        <v>224</v>
      </c>
      <c r="C61" s="30" t="s">
        <v>246</v>
      </c>
      <c r="D61" s="29" t="s">
        <v>140</v>
      </c>
      <c r="E61" s="29">
        <v>1</v>
      </c>
      <c r="F61" s="30" t="s">
        <v>247</v>
      </c>
      <c r="G61" s="31">
        <v>0.75</v>
      </c>
      <c r="H61" s="32" t="s">
        <v>135</v>
      </c>
      <c r="I61" s="33"/>
      <c r="J61" s="34"/>
      <c r="K61" s="35"/>
    </row>
    <row r="62" spans="1:11" x14ac:dyDescent="0.35">
      <c r="A62" s="29">
        <v>57</v>
      </c>
      <c r="B62" s="29" t="s">
        <v>224</v>
      </c>
      <c r="C62" s="30" t="s">
        <v>248</v>
      </c>
      <c r="D62" s="29" t="s">
        <v>140</v>
      </c>
      <c r="E62" s="29">
        <v>1</v>
      </c>
      <c r="F62" s="30" t="s">
        <v>249</v>
      </c>
      <c r="G62" s="31">
        <v>1</v>
      </c>
      <c r="H62" s="32" t="s">
        <v>135</v>
      </c>
      <c r="I62" s="33"/>
      <c r="J62" s="34"/>
      <c r="K62" s="35"/>
    </row>
    <row r="63" spans="1:11" x14ac:dyDescent="0.35">
      <c r="A63" s="29">
        <v>58</v>
      </c>
      <c r="B63" s="29" t="s">
        <v>224</v>
      </c>
      <c r="C63" s="30" t="s">
        <v>250</v>
      </c>
      <c r="D63" s="29" t="s">
        <v>140</v>
      </c>
      <c r="E63" s="29">
        <v>1</v>
      </c>
      <c r="F63" s="30" t="s">
        <v>251</v>
      </c>
      <c r="G63" s="31">
        <v>0.5</v>
      </c>
      <c r="H63" s="32" t="s">
        <v>135</v>
      </c>
      <c r="I63" s="33"/>
      <c r="J63" s="34"/>
      <c r="K63" s="35"/>
    </row>
    <row r="64" spans="1:11" x14ac:dyDescent="0.35">
      <c r="A64" s="29">
        <v>59</v>
      </c>
      <c r="B64" s="29" t="s">
        <v>224</v>
      </c>
      <c r="C64" s="30" t="s">
        <v>252</v>
      </c>
      <c r="D64" s="29" t="s">
        <v>140</v>
      </c>
      <c r="E64" s="29">
        <v>1</v>
      </c>
      <c r="F64" s="30" t="s">
        <v>253</v>
      </c>
      <c r="G64" s="31">
        <v>0.75</v>
      </c>
      <c r="H64" s="32" t="s">
        <v>135</v>
      </c>
      <c r="I64" s="33"/>
      <c r="J64" s="34"/>
      <c r="K64" s="35"/>
    </row>
    <row r="65" spans="1:11" x14ac:dyDescent="0.35">
      <c r="A65" s="29">
        <v>60</v>
      </c>
      <c r="B65" s="29" t="s">
        <v>224</v>
      </c>
      <c r="C65" s="30" t="s">
        <v>254</v>
      </c>
      <c r="D65" s="29" t="s">
        <v>140</v>
      </c>
      <c r="E65" s="29">
        <v>1</v>
      </c>
      <c r="F65" s="30" t="s">
        <v>255</v>
      </c>
      <c r="G65" s="31">
        <v>2</v>
      </c>
      <c r="H65" s="32" t="s">
        <v>135</v>
      </c>
      <c r="I65" s="33"/>
      <c r="J65" s="34"/>
      <c r="K65" s="35"/>
    </row>
    <row r="66" spans="1:11" x14ac:dyDescent="0.35">
      <c r="A66" s="29">
        <v>61</v>
      </c>
      <c r="B66" s="29" t="s">
        <v>224</v>
      </c>
      <c r="C66" s="30" t="s">
        <v>256</v>
      </c>
      <c r="D66" s="29" t="s">
        <v>140</v>
      </c>
      <c r="E66" s="29">
        <v>1</v>
      </c>
      <c r="F66" s="30" t="s">
        <v>257</v>
      </c>
      <c r="G66" s="31">
        <v>1</v>
      </c>
      <c r="H66" s="32" t="s">
        <v>135</v>
      </c>
      <c r="I66" s="33"/>
      <c r="J66" s="34"/>
      <c r="K66" s="35"/>
    </row>
    <row r="67" spans="1:11" x14ac:dyDescent="0.35">
      <c r="A67" s="29">
        <v>62</v>
      </c>
      <c r="B67" s="29" t="s">
        <v>224</v>
      </c>
      <c r="C67" s="30" t="s">
        <v>258</v>
      </c>
      <c r="D67" s="29" t="s">
        <v>140</v>
      </c>
      <c r="E67" s="29">
        <v>1</v>
      </c>
      <c r="F67" s="30" t="s">
        <v>259</v>
      </c>
      <c r="G67" s="31">
        <v>1</v>
      </c>
      <c r="H67" s="32" t="s">
        <v>135</v>
      </c>
      <c r="I67" s="33"/>
      <c r="J67" s="34"/>
      <c r="K67" s="35"/>
    </row>
    <row r="68" spans="1:11" x14ac:dyDescent="0.35">
      <c r="A68" s="29">
        <v>63</v>
      </c>
      <c r="B68" s="29" t="s">
        <v>224</v>
      </c>
      <c r="C68" s="30" t="s">
        <v>260</v>
      </c>
      <c r="D68" s="29" t="s">
        <v>140</v>
      </c>
      <c r="E68" s="29">
        <v>1</v>
      </c>
      <c r="F68" s="30" t="s">
        <v>261</v>
      </c>
      <c r="G68" s="31">
        <v>1.5</v>
      </c>
      <c r="H68" s="32" t="s">
        <v>135</v>
      </c>
      <c r="I68" s="33"/>
      <c r="J68" s="34"/>
      <c r="K68" s="35"/>
    </row>
    <row r="69" spans="1:11" x14ac:dyDescent="0.35">
      <c r="A69" s="29">
        <v>64</v>
      </c>
      <c r="B69" s="29" t="s">
        <v>224</v>
      </c>
      <c r="C69" s="30" t="s">
        <v>262</v>
      </c>
      <c r="D69" s="29" t="s">
        <v>140</v>
      </c>
      <c r="E69" s="29">
        <v>1</v>
      </c>
      <c r="F69" s="30" t="s">
        <v>263</v>
      </c>
      <c r="G69" s="31">
        <v>0.75</v>
      </c>
      <c r="H69" s="32" t="s">
        <v>135</v>
      </c>
      <c r="I69" s="33"/>
      <c r="J69" s="34"/>
      <c r="K69" s="35"/>
    </row>
    <row r="70" spans="1:11" x14ac:dyDescent="0.35">
      <c r="A70" s="29">
        <v>65</v>
      </c>
      <c r="B70" s="29" t="s">
        <v>224</v>
      </c>
      <c r="C70" s="30" t="s">
        <v>264</v>
      </c>
      <c r="D70" s="29" t="s">
        <v>140</v>
      </c>
      <c r="E70" s="29">
        <v>1</v>
      </c>
      <c r="F70" s="30" t="s">
        <v>265</v>
      </c>
      <c r="G70" s="31">
        <v>1</v>
      </c>
      <c r="H70" s="32" t="s">
        <v>135</v>
      </c>
      <c r="I70" s="33"/>
      <c r="J70" s="34"/>
      <c r="K70" s="35"/>
    </row>
    <row r="71" spans="1:11" x14ac:dyDescent="0.35">
      <c r="A71" s="29">
        <v>66</v>
      </c>
      <c r="B71" s="29" t="s">
        <v>266</v>
      </c>
      <c r="C71" s="36" t="s">
        <v>267</v>
      </c>
      <c r="D71" s="29" t="s">
        <v>138</v>
      </c>
      <c r="E71" s="29"/>
      <c r="F71" s="30"/>
      <c r="G71" s="31">
        <v>4</v>
      </c>
      <c r="H71" s="32" t="s">
        <v>135</v>
      </c>
      <c r="I71" s="33"/>
      <c r="J71" s="34"/>
      <c r="K71" s="35"/>
    </row>
    <row r="72" spans="1:11" x14ac:dyDescent="0.35">
      <c r="A72" s="29">
        <v>67</v>
      </c>
      <c r="B72" s="29" t="s">
        <v>266</v>
      </c>
      <c r="C72" s="30" t="s">
        <v>268</v>
      </c>
      <c r="D72" s="29" t="s">
        <v>140</v>
      </c>
      <c r="E72" s="29">
        <v>1</v>
      </c>
      <c r="F72" s="30" t="s">
        <v>269</v>
      </c>
      <c r="G72" s="31">
        <v>0.25</v>
      </c>
      <c r="H72" s="32" t="s">
        <v>135</v>
      </c>
      <c r="I72" s="33"/>
      <c r="J72" s="34"/>
      <c r="K72" s="35"/>
    </row>
    <row r="73" spans="1:11" x14ac:dyDescent="0.35">
      <c r="A73" s="29">
        <v>68</v>
      </c>
      <c r="B73" s="29" t="s">
        <v>266</v>
      </c>
      <c r="C73" s="30" t="s">
        <v>270</v>
      </c>
      <c r="D73" s="29" t="s">
        <v>140</v>
      </c>
      <c r="E73" s="29">
        <v>1</v>
      </c>
      <c r="F73" s="30" t="s">
        <v>271</v>
      </c>
      <c r="G73" s="31">
        <v>1</v>
      </c>
      <c r="H73" s="32" t="s">
        <v>135</v>
      </c>
      <c r="I73" s="33"/>
      <c r="J73" s="34"/>
      <c r="K73" s="35"/>
    </row>
    <row r="74" spans="1:11" x14ac:dyDescent="0.35">
      <c r="A74" s="29">
        <v>69</v>
      </c>
      <c r="B74" s="29" t="s">
        <v>266</v>
      </c>
      <c r="C74" s="30" t="s">
        <v>272</v>
      </c>
      <c r="D74" s="29" t="s">
        <v>140</v>
      </c>
      <c r="E74" s="29">
        <v>1</v>
      </c>
      <c r="F74" s="30" t="s">
        <v>273</v>
      </c>
      <c r="G74" s="31">
        <v>1.5</v>
      </c>
      <c r="H74" s="32" t="s">
        <v>135</v>
      </c>
      <c r="I74" s="33"/>
      <c r="J74" s="34"/>
      <c r="K74" s="35"/>
    </row>
    <row r="75" spans="1:11" x14ac:dyDescent="0.35">
      <c r="A75" s="29">
        <v>70</v>
      </c>
      <c r="B75" s="29" t="s">
        <v>266</v>
      </c>
      <c r="C75" s="30" t="s">
        <v>274</v>
      </c>
      <c r="D75" s="29" t="s">
        <v>140</v>
      </c>
      <c r="E75" s="29">
        <v>1</v>
      </c>
      <c r="F75" s="30" t="s">
        <v>275</v>
      </c>
      <c r="G75" s="31">
        <v>1.5</v>
      </c>
      <c r="H75" s="32" t="s">
        <v>135</v>
      </c>
      <c r="I75" s="33"/>
      <c r="J75" s="34"/>
      <c r="K75" s="35"/>
    </row>
    <row r="76" spans="1:11" x14ac:dyDescent="0.35">
      <c r="A76" s="29">
        <v>71</v>
      </c>
      <c r="B76" s="29" t="s">
        <v>266</v>
      </c>
      <c r="C76" s="30" t="s">
        <v>276</v>
      </c>
      <c r="D76" s="29" t="s">
        <v>140</v>
      </c>
      <c r="E76" s="29">
        <v>1</v>
      </c>
      <c r="F76" s="30" t="s">
        <v>277</v>
      </c>
      <c r="G76" s="31">
        <v>0.75</v>
      </c>
      <c r="H76" s="32" t="s">
        <v>135</v>
      </c>
      <c r="I76" s="33"/>
      <c r="J76" s="34"/>
      <c r="K76" s="35"/>
    </row>
    <row r="77" spans="1:11" x14ac:dyDescent="0.35">
      <c r="A77" s="29">
        <v>72</v>
      </c>
      <c r="B77" s="29" t="s">
        <v>266</v>
      </c>
      <c r="C77" s="30" t="s">
        <v>278</v>
      </c>
      <c r="D77" s="29" t="s">
        <v>140</v>
      </c>
      <c r="E77" s="29">
        <v>1</v>
      </c>
      <c r="F77" s="30" t="s">
        <v>279</v>
      </c>
      <c r="G77" s="31">
        <v>0.75</v>
      </c>
      <c r="H77" s="32" t="s">
        <v>135</v>
      </c>
      <c r="I77" s="33"/>
      <c r="J77" s="34"/>
      <c r="K77" s="35"/>
    </row>
    <row r="78" spans="1:11" x14ac:dyDescent="0.35">
      <c r="A78" s="29">
        <v>73</v>
      </c>
      <c r="B78" s="29" t="s">
        <v>266</v>
      </c>
      <c r="C78" s="30" t="s">
        <v>280</v>
      </c>
      <c r="D78" s="29" t="s">
        <v>140</v>
      </c>
      <c r="E78" s="29">
        <v>1</v>
      </c>
      <c r="F78" s="30" t="s">
        <v>281</v>
      </c>
      <c r="G78" s="31">
        <v>1</v>
      </c>
      <c r="H78" s="32" t="s">
        <v>135</v>
      </c>
      <c r="I78" s="33"/>
      <c r="J78" s="34"/>
      <c r="K78" s="35"/>
    </row>
    <row r="79" spans="1:11" x14ac:dyDescent="0.35">
      <c r="A79" s="29">
        <v>74</v>
      </c>
      <c r="B79" s="29" t="s">
        <v>266</v>
      </c>
      <c r="C79" s="30" t="s">
        <v>282</v>
      </c>
      <c r="D79" s="29" t="s">
        <v>140</v>
      </c>
      <c r="E79" s="29">
        <v>1</v>
      </c>
      <c r="F79" s="30" t="s">
        <v>283</v>
      </c>
      <c r="G79" s="31">
        <v>1.5</v>
      </c>
      <c r="H79" s="32" t="s">
        <v>135</v>
      </c>
      <c r="I79" s="33"/>
      <c r="J79" s="34"/>
      <c r="K79" s="35"/>
    </row>
    <row r="80" spans="1:11" x14ac:dyDescent="0.35">
      <c r="A80" s="29">
        <v>75</v>
      </c>
      <c r="B80" s="29" t="s">
        <v>266</v>
      </c>
      <c r="C80" s="30" t="s">
        <v>284</v>
      </c>
      <c r="D80" s="29" t="s">
        <v>140</v>
      </c>
      <c r="E80" s="29">
        <v>1</v>
      </c>
      <c r="F80" s="30" t="s">
        <v>285</v>
      </c>
      <c r="G80" s="31">
        <v>1.5</v>
      </c>
      <c r="H80" s="32" t="s">
        <v>135</v>
      </c>
      <c r="I80" s="33"/>
      <c r="J80" s="34"/>
      <c r="K80" s="35"/>
    </row>
    <row r="81" spans="1:11" x14ac:dyDescent="0.35">
      <c r="A81" s="29">
        <v>76</v>
      </c>
      <c r="B81" s="29" t="s">
        <v>266</v>
      </c>
      <c r="C81" s="30" t="s">
        <v>286</v>
      </c>
      <c r="D81" s="29" t="s">
        <v>140</v>
      </c>
      <c r="E81" s="29">
        <v>1</v>
      </c>
      <c r="F81" s="30" t="s">
        <v>287</v>
      </c>
      <c r="G81" s="31">
        <v>1</v>
      </c>
      <c r="H81" s="32" t="s">
        <v>135</v>
      </c>
      <c r="I81" s="33"/>
      <c r="J81" s="34"/>
      <c r="K81" s="35"/>
    </row>
    <row r="82" spans="1:11" x14ac:dyDescent="0.35">
      <c r="A82" s="29">
        <v>77</v>
      </c>
      <c r="B82" s="29" t="s">
        <v>266</v>
      </c>
      <c r="C82" s="30" t="s">
        <v>288</v>
      </c>
      <c r="D82" s="29" t="s">
        <v>140</v>
      </c>
      <c r="E82" s="29">
        <v>1</v>
      </c>
      <c r="F82" s="30" t="s">
        <v>289</v>
      </c>
      <c r="G82" s="31">
        <v>1.5</v>
      </c>
      <c r="H82" s="32" t="s">
        <v>135</v>
      </c>
      <c r="I82" s="33"/>
      <c r="J82" s="34"/>
      <c r="K82" s="35"/>
    </row>
    <row r="83" spans="1:11" x14ac:dyDescent="0.35">
      <c r="A83" s="29">
        <v>78</v>
      </c>
      <c r="B83" s="29" t="s">
        <v>266</v>
      </c>
      <c r="C83" s="30" t="s">
        <v>290</v>
      </c>
      <c r="D83" s="29" t="s">
        <v>140</v>
      </c>
      <c r="E83" s="29">
        <v>1</v>
      </c>
      <c r="F83" s="30" t="s">
        <v>291</v>
      </c>
      <c r="G83" s="31">
        <v>0.5</v>
      </c>
      <c r="H83" s="32" t="s">
        <v>135</v>
      </c>
      <c r="I83" s="33"/>
      <c r="J83" s="34"/>
      <c r="K83" s="35"/>
    </row>
    <row r="84" spans="1:11" ht="26" x14ac:dyDescent="0.35">
      <c r="A84" s="29">
        <v>79</v>
      </c>
      <c r="B84" s="29" t="s">
        <v>292</v>
      </c>
      <c r="C84" s="36" t="s">
        <v>293</v>
      </c>
      <c r="D84" s="29" t="s">
        <v>138</v>
      </c>
      <c r="E84" s="29"/>
      <c r="F84" s="30"/>
      <c r="G84" s="31">
        <v>2</v>
      </c>
      <c r="H84" s="32" t="s">
        <v>135</v>
      </c>
      <c r="I84" s="33"/>
      <c r="J84" s="34"/>
      <c r="K84" s="35"/>
    </row>
    <row r="85" spans="1:11" x14ac:dyDescent="0.35">
      <c r="A85" s="29">
        <v>80</v>
      </c>
      <c r="B85" s="29" t="s">
        <v>292</v>
      </c>
      <c r="C85" s="30" t="s">
        <v>294</v>
      </c>
      <c r="D85" s="29" t="s">
        <v>140</v>
      </c>
      <c r="E85" s="29">
        <v>1</v>
      </c>
      <c r="F85" s="30" t="s">
        <v>295</v>
      </c>
      <c r="G85" s="31">
        <v>2</v>
      </c>
      <c r="H85" s="32" t="s">
        <v>135</v>
      </c>
      <c r="I85" s="33"/>
      <c r="J85" s="34"/>
      <c r="K85" s="35"/>
    </row>
    <row r="86" spans="1:11" x14ac:dyDescent="0.35">
      <c r="A86" s="29">
        <v>81</v>
      </c>
      <c r="B86" s="29" t="s">
        <v>292</v>
      </c>
      <c r="C86" s="30" t="s">
        <v>296</v>
      </c>
      <c r="D86" s="29" t="s">
        <v>140</v>
      </c>
      <c r="E86" s="29">
        <v>1</v>
      </c>
      <c r="F86" s="30" t="s">
        <v>297</v>
      </c>
      <c r="G86" s="31">
        <v>0.5</v>
      </c>
      <c r="H86" s="32" t="s">
        <v>135</v>
      </c>
      <c r="I86" s="33"/>
      <c r="J86" s="34"/>
      <c r="K86" s="35"/>
    </row>
    <row r="87" spans="1:11" x14ac:dyDescent="0.35">
      <c r="A87" s="29">
        <v>82</v>
      </c>
      <c r="B87" s="29" t="s">
        <v>292</v>
      </c>
      <c r="C87" s="30" t="s">
        <v>298</v>
      </c>
      <c r="D87" s="29" t="s">
        <v>140</v>
      </c>
      <c r="E87" s="29">
        <v>1</v>
      </c>
      <c r="F87" s="30" t="s">
        <v>299</v>
      </c>
      <c r="G87" s="31">
        <v>0.75</v>
      </c>
      <c r="H87" s="32" t="s">
        <v>135</v>
      </c>
      <c r="I87" s="33"/>
      <c r="J87" s="34"/>
      <c r="K87" s="35"/>
    </row>
    <row r="88" spans="1:11" x14ac:dyDescent="0.35">
      <c r="A88" s="29">
        <v>83</v>
      </c>
      <c r="B88" s="29" t="s">
        <v>300</v>
      </c>
      <c r="C88" s="36" t="s">
        <v>301</v>
      </c>
      <c r="D88" s="29" t="s">
        <v>138</v>
      </c>
      <c r="E88" s="29"/>
      <c r="F88" s="30"/>
      <c r="G88" s="31">
        <v>5</v>
      </c>
      <c r="H88" s="32" t="s">
        <v>135</v>
      </c>
      <c r="I88" s="33"/>
      <c r="J88" s="34"/>
      <c r="K88" s="35"/>
    </row>
    <row r="89" spans="1:11" x14ac:dyDescent="0.35">
      <c r="A89" s="29">
        <v>84</v>
      </c>
      <c r="B89" s="29" t="s">
        <v>300</v>
      </c>
      <c r="C89" s="30" t="s">
        <v>302</v>
      </c>
      <c r="D89" s="29" t="s">
        <v>140</v>
      </c>
      <c r="E89" s="29">
        <v>1</v>
      </c>
      <c r="F89" s="30" t="s">
        <v>303</v>
      </c>
      <c r="G89" s="31">
        <v>1</v>
      </c>
      <c r="H89" s="32" t="s">
        <v>135</v>
      </c>
      <c r="I89" s="33"/>
      <c r="J89" s="34"/>
      <c r="K89" s="35"/>
    </row>
    <row r="90" spans="1:11" x14ac:dyDescent="0.35">
      <c r="A90" s="29">
        <v>85</v>
      </c>
      <c r="B90" s="29" t="s">
        <v>300</v>
      </c>
      <c r="C90" s="30" t="s">
        <v>304</v>
      </c>
      <c r="D90" s="29" t="s">
        <v>140</v>
      </c>
      <c r="E90" s="29">
        <v>1</v>
      </c>
      <c r="F90" s="30" t="s">
        <v>305</v>
      </c>
      <c r="G90" s="31">
        <v>1</v>
      </c>
      <c r="H90" s="32" t="s">
        <v>135</v>
      </c>
      <c r="I90" s="33"/>
      <c r="J90" s="34"/>
      <c r="K90" s="35"/>
    </row>
    <row r="91" spans="1:11" x14ac:dyDescent="0.35">
      <c r="A91" s="29">
        <v>86</v>
      </c>
      <c r="B91" s="29" t="s">
        <v>300</v>
      </c>
      <c r="C91" s="30" t="s">
        <v>306</v>
      </c>
      <c r="D91" s="29" t="s">
        <v>140</v>
      </c>
      <c r="E91" s="29">
        <v>1</v>
      </c>
      <c r="F91" s="30" t="s">
        <v>307</v>
      </c>
      <c r="G91" s="31">
        <v>0.75</v>
      </c>
      <c r="H91" s="32" t="s">
        <v>135</v>
      </c>
      <c r="I91" s="33"/>
      <c r="J91" s="34"/>
      <c r="K91" s="35"/>
    </row>
    <row r="92" spans="1:11" x14ac:dyDescent="0.35">
      <c r="A92" s="29">
        <v>87</v>
      </c>
      <c r="B92" s="29" t="s">
        <v>300</v>
      </c>
      <c r="C92" s="30" t="s">
        <v>308</v>
      </c>
      <c r="D92" s="29" t="s">
        <v>140</v>
      </c>
      <c r="E92" s="29">
        <v>1</v>
      </c>
      <c r="F92" s="30" t="s">
        <v>309</v>
      </c>
      <c r="G92" s="31">
        <v>0.5</v>
      </c>
      <c r="H92" s="32" t="s">
        <v>135</v>
      </c>
      <c r="I92" s="33"/>
      <c r="J92" s="34"/>
      <c r="K92" s="35"/>
    </row>
    <row r="93" spans="1:11" x14ac:dyDescent="0.35">
      <c r="A93" s="29">
        <v>88</v>
      </c>
      <c r="B93" s="29" t="s">
        <v>300</v>
      </c>
      <c r="C93" s="30" t="s">
        <v>310</v>
      </c>
      <c r="D93" s="29" t="s">
        <v>140</v>
      </c>
      <c r="E93" s="29">
        <v>1</v>
      </c>
      <c r="F93" s="30" t="s">
        <v>311</v>
      </c>
      <c r="G93" s="31">
        <v>1</v>
      </c>
      <c r="H93" s="32" t="s">
        <v>135</v>
      </c>
      <c r="I93" s="33"/>
      <c r="J93" s="34"/>
      <c r="K93" s="35"/>
    </row>
    <row r="94" spans="1:11" x14ac:dyDescent="0.35">
      <c r="A94" s="29">
        <v>89</v>
      </c>
      <c r="B94" s="29" t="s">
        <v>300</v>
      </c>
      <c r="C94" s="30" t="s">
        <v>312</v>
      </c>
      <c r="D94" s="29" t="s">
        <v>140</v>
      </c>
      <c r="E94" s="29">
        <v>1</v>
      </c>
      <c r="F94" s="30" t="s">
        <v>313</v>
      </c>
      <c r="G94" s="31">
        <v>1.5</v>
      </c>
      <c r="H94" s="32" t="s">
        <v>135</v>
      </c>
      <c r="I94" s="33"/>
      <c r="J94" s="34"/>
      <c r="K94" s="35"/>
    </row>
    <row r="95" spans="1:11" x14ac:dyDescent="0.35">
      <c r="A95" s="29">
        <v>90</v>
      </c>
      <c r="B95" s="29" t="s">
        <v>300</v>
      </c>
      <c r="C95" s="30" t="s">
        <v>314</v>
      </c>
      <c r="D95" s="29" t="s">
        <v>140</v>
      </c>
      <c r="E95" s="29">
        <v>1</v>
      </c>
      <c r="F95" s="30" t="s">
        <v>315</v>
      </c>
      <c r="G95" s="31">
        <v>2</v>
      </c>
      <c r="H95" s="32" t="s">
        <v>135</v>
      </c>
      <c r="I95" s="33"/>
      <c r="J95" s="34"/>
      <c r="K95" s="35"/>
    </row>
    <row r="96" spans="1:11" x14ac:dyDescent="0.35">
      <c r="A96" s="29">
        <v>91</v>
      </c>
      <c r="B96" s="29" t="s">
        <v>300</v>
      </c>
      <c r="C96" s="30" t="s">
        <v>316</v>
      </c>
      <c r="D96" s="29" t="s">
        <v>140</v>
      </c>
      <c r="E96" s="29">
        <v>1</v>
      </c>
      <c r="F96" s="30" t="s">
        <v>317</v>
      </c>
      <c r="G96" s="31">
        <v>1.5</v>
      </c>
      <c r="H96" s="32" t="s">
        <v>135</v>
      </c>
      <c r="I96" s="33"/>
      <c r="J96" s="34"/>
      <c r="K96" s="35"/>
    </row>
    <row r="97" spans="1:11" x14ac:dyDescent="0.35">
      <c r="A97" s="29">
        <v>92</v>
      </c>
      <c r="B97" s="29" t="s">
        <v>300</v>
      </c>
      <c r="C97" s="30" t="s">
        <v>318</v>
      </c>
      <c r="D97" s="29" t="s">
        <v>140</v>
      </c>
      <c r="E97" s="29">
        <v>1</v>
      </c>
      <c r="F97" s="30" t="s">
        <v>319</v>
      </c>
      <c r="G97" s="31">
        <v>1.5</v>
      </c>
      <c r="H97" s="32" t="s">
        <v>135</v>
      </c>
      <c r="I97" s="33"/>
      <c r="J97" s="34"/>
      <c r="K97" s="35"/>
    </row>
    <row r="98" spans="1:11" x14ac:dyDescent="0.35">
      <c r="A98" s="29">
        <v>93</v>
      </c>
      <c r="B98" s="29" t="s">
        <v>320</v>
      </c>
      <c r="C98" s="36" t="s">
        <v>321</v>
      </c>
      <c r="D98" s="29" t="s">
        <v>138</v>
      </c>
      <c r="E98" s="29"/>
      <c r="F98" s="30"/>
      <c r="G98" s="31">
        <v>3</v>
      </c>
      <c r="H98" s="32" t="s">
        <v>135</v>
      </c>
      <c r="I98" s="33"/>
      <c r="J98" s="34"/>
      <c r="K98" s="35"/>
    </row>
    <row r="99" spans="1:11" x14ac:dyDescent="0.35">
      <c r="A99" s="29">
        <v>94</v>
      </c>
      <c r="B99" s="29" t="s">
        <v>320</v>
      </c>
      <c r="C99" s="30" t="s">
        <v>322</v>
      </c>
      <c r="D99" s="29" t="s">
        <v>140</v>
      </c>
      <c r="E99" s="29">
        <v>1</v>
      </c>
      <c r="F99" s="30" t="s">
        <v>323</v>
      </c>
      <c r="G99" s="31">
        <v>0.5</v>
      </c>
      <c r="H99" s="32" t="s">
        <v>135</v>
      </c>
      <c r="I99" s="33"/>
      <c r="J99" s="34"/>
      <c r="K99" s="35"/>
    </row>
    <row r="100" spans="1:11" x14ac:dyDescent="0.35">
      <c r="A100" s="29">
        <v>95</v>
      </c>
      <c r="B100" s="29" t="s">
        <v>320</v>
      </c>
      <c r="C100" s="30" t="s">
        <v>324</v>
      </c>
      <c r="D100" s="29" t="s">
        <v>140</v>
      </c>
      <c r="E100" s="29">
        <v>1</v>
      </c>
      <c r="F100" s="30" t="s">
        <v>325</v>
      </c>
      <c r="G100" s="31">
        <v>0.5</v>
      </c>
      <c r="H100" s="32" t="s">
        <v>135</v>
      </c>
      <c r="I100" s="33"/>
      <c r="J100" s="34"/>
      <c r="K100" s="35"/>
    </row>
    <row r="101" spans="1:11" x14ac:dyDescent="0.35">
      <c r="A101" s="29">
        <v>96</v>
      </c>
      <c r="B101" s="29" t="s">
        <v>320</v>
      </c>
      <c r="C101" s="30" t="s">
        <v>326</v>
      </c>
      <c r="D101" s="29" t="s">
        <v>140</v>
      </c>
      <c r="E101" s="29">
        <v>1</v>
      </c>
      <c r="F101" s="30" t="s">
        <v>327</v>
      </c>
      <c r="G101" s="31">
        <v>0.5</v>
      </c>
      <c r="H101" s="32" t="s">
        <v>135</v>
      </c>
      <c r="I101" s="33"/>
      <c r="J101" s="34"/>
      <c r="K101" s="35"/>
    </row>
    <row r="102" spans="1:11" x14ac:dyDescent="0.35">
      <c r="A102" s="29">
        <v>97</v>
      </c>
      <c r="B102" s="29" t="s">
        <v>320</v>
      </c>
      <c r="C102" s="30" t="s">
        <v>328</v>
      </c>
      <c r="D102" s="29" t="s">
        <v>140</v>
      </c>
      <c r="E102" s="29">
        <v>1</v>
      </c>
      <c r="F102" s="30" t="s">
        <v>329</v>
      </c>
      <c r="G102" s="31">
        <v>1</v>
      </c>
      <c r="H102" s="32" t="s">
        <v>135</v>
      </c>
      <c r="I102" s="33"/>
      <c r="J102" s="34"/>
      <c r="K102" s="35"/>
    </row>
    <row r="103" spans="1:11" x14ac:dyDescent="0.35">
      <c r="A103" s="29">
        <v>98</v>
      </c>
      <c r="B103" s="29" t="s">
        <v>320</v>
      </c>
      <c r="C103" s="30" t="s">
        <v>330</v>
      </c>
      <c r="D103" s="29" t="s">
        <v>140</v>
      </c>
      <c r="E103" s="29">
        <v>1</v>
      </c>
      <c r="F103" s="30" t="s">
        <v>331</v>
      </c>
      <c r="G103" s="31">
        <v>1</v>
      </c>
      <c r="H103" s="32" t="s">
        <v>135</v>
      </c>
      <c r="I103" s="33"/>
      <c r="J103" s="34"/>
      <c r="K103" s="35"/>
    </row>
    <row r="104" spans="1:11" x14ac:dyDescent="0.35">
      <c r="A104" s="29">
        <v>99</v>
      </c>
      <c r="B104" s="29" t="s">
        <v>320</v>
      </c>
      <c r="C104" s="30" t="s">
        <v>332</v>
      </c>
      <c r="D104" s="29" t="s">
        <v>140</v>
      </c>
      <c r="E104" s="29">
        <v>1</v>
      </c>
      <c r="F104" s="30" t="s">
        <v>333</v>
      </c>
      <c r="G104" s="31">
        <v>0.5</v>
      </c>
      <c r="H104" s="32" t="s">
        <v>135</v>
      </c>
      <c r="I104" s="33"/>
      <c r="J104" s="34"/>
      <c r="K104" s="35"/>
    </row>
    <row r="105" spans="1:11" x14ac:dyDescent="0.35">
      <c r="A105" s="29">
        <v>100</v>
      </c>
      <c r="B105" s="29" t="s">
        <v>334</v>
      </c>
      <c r="C105" s="36" t="s">
        <v>335</v>
      </c>
      <c r="D105" s="29" t="s">
        <v>138</v>
      </c>
      <c r="E105" s="29"/>
      <c r="F105" s="30"/>
      <c r="G105" s="31">
        <v>3</v>
      </c>
      <c r="H105" s="32" t="s">
        <v>135</v>
      </c>
      <c r="I105" s="33"/>
      <c r="J105" s="34"/>
      <c r="K105" s="35"/>
    </row>
    <row r="106" spans="1:11" x14ac:dyDescent="0.35">
      <c r="A106" s="29">
        <v>101</v>
      </c>
      <c r="B106" s="29" t="s">
        <v>334</v>
      </c>
      <c r="C106" s="30" t="s">
        <v>336</v>
      </c>
      <c r="D106" s="29" t="s">
        <v>140</v>
      </c>
      <c r="E106" s="29">
        <v>1</v>
      </c>
      <c r="F106" s="30" t="s">
        <v>337</v>
      </c>
      <c r="G106" s="31">
        <v>1</v>
      </c>
      <c r="H106" s="32" t="s">
        <v>135</v>
      </c>
      <c r="I106" s="33"/>
      <c r="J106" s="34"/>
      <c r="K106" s="35"/>
    </row>
    <row r="107" spans="1:11" x14ac:dyDescent="0.35">
      <c r="A107" s="29">
        <v>102</v>
      </c>
      <c r="B107" s="29" t="s">
        <v>334</v>
      </c>
      <c r="C107" s="30" t="s">
        <v>338</v>
      </c>
      <c r="D107" s="29" t="s">
        <v>140</v>
      </c>
      <c r="E107" s="29">
        <v>1</v>
      </c>
      <c r="F107" s="30" t="s">
        <v>339</v>
      </c>
      <c r="G107" s="31">
        <v>1</v>
      </c>
      <c r="H107" s="32" t="s">
        <v>135</v>
      </c>
      <c r="I107" s="33"/>
      <c r="J107" s="34"/>
      <c r="K107" s="35"/>
    </row>
    <row r="108" spans="1:11" x14ac:dyDescent="0.35">
      <c r="A108" s="29">
        <v>103</v>
      </c>
      <c r="B108" s="29" t="s">
        <v>334</v>
      </c>
      <c r="C108" s="30" t="s">
        <v>340</v>
      </c>
      <c r="D108" s="29" t="s">
        <v>140</v>
      </c>
      <c r="E108" s="29">
        <v>1</v>
      </c>
      <c r="F108" s="30" t="s">
        <v>341</v>
      </c>
      <c r="G108" s="31">
        <v>1.5</v>
      </c>
      <c r="H108" s="32" t="s">
        <v>135</v>
      </c>
      <c r="I108" s="33"/>
      <c r="J108" s="34"/>
      <c r="K108" s="35"/>
    </row>
    <row r="109" spans="1:11" x14ac:dyDescent="0.35">
      <c r="A109" s="29">
        <v>104</v>
      </c>
      <c r="B109" s="29" t="s">
        <v>342</v>
      </c>
      <c r="C109" s="36" t="s">
        <v>343</v>
      </c>
      <c r="D109" s="29" t="s">
        <v>138</v>
      </c>
      <c r="E109" s="29"/>
      <c r="F109" s="30"/>
      <c r="G109" s="31">
        <v>6</v>
      </c>
      <c r="H109" s="32" t="s">
        <v>135</v>
      </c>
      <c r="I109" s="33"/>
      <c r="J109" s="34"/>
      <c r="K109" s="35"/>
    </row>
    <row r="110" spans="1:11" x14ac:dyDescent="0.35">
      <c r="A110" s="29">
        <v>105</v>
      </c>
      <c r="B110" s="29" t="s">
        <v>342</v>
      </c>
      <c r="C110" s="30" t="s">
        <v>344</v>
      </c>
      <c r="D110" s="29" t="s">
        <v>140</v>
      </c>
      <c r="E110" s="29">
        <v>1</v>
      </c>
      <c r="F110" s="30" t="s">
        <v>345</v>
      </c>
      <c r="G110" s="31">
        <v>0.75</v>
      </c>
      <c r="H110" s="32" t="s">
        <v>135</v>
      </c>
      <c r="I110" s="33"/>
      <c r="J110" s="34"/>
      <c r="K110" s="35"/>
    </row>
    <row r="111" spans="1:11" x14ac:dyDescent="0.35">
      <c r="A111" s="29">
        <v>106</v>
      </c>
      <c r="B111" s="29" t="s">
        <v>342</v>
      </c>
      <c r="C111" s="30" t="s">
        <v>346</v>
      </c>
      <c r="D111" s="29" t="s">
        <v>140</v>
      </c>
      <c r="E111" s="29">
        <v>1</v>
      </c>
      <c r="F111" s="30" t="s">
        <v>347</v>
      </c>
      <c r="G111" s="31">
        <v>0.75</v>
      </c>
      <c r="H111" s="32" t="s">
        <v>135</v>
      </c>
      <c r="I111" s="33"/>
      <c r="J111" s="34"/>
      <c r="K111" s="35"/>
    </row>
    <row r="112" spans="1:11" x14ac:dyDescent="0.35">
      <c r="A112" s="29">
        <v>107</v>
      </c>
      <c r="B112" s="29" t="s">
        <v>342</v>
      </c>
      <c r="C112" s="30" t="s">
        <v>348</v>
      </c>
      <c r="D112" s="29" t="s">
        <v>140</v>
      </c>
      <c r="E112" s="29">
        <v>1</v>
      </c>
      <c r="F112" s="30" t="s">
        <v>349</v>
      </c>
      <c r="G112" s="31">
        <v>1</v>
      </c>
      <c r="H112" s="32" t="s">
        <v>135</v>
      </c>
      <c r="I112" s="33"/>
      <c r="J112" s="34"/>
      <c r="K112" s="35"/>
    </row>
    <row r="113" spans="1:11" x14ac:dyDescent="0.35">
      <c r="A113" s="29">
        <v>108</v>
      </c>
      <c r="B113" s="29" t="s">
        <v>342</v>
      </c>
      <c r="C113" s="30" t="s">
        <v>350</v>
      </c>
      <c r="D113" s="29" t="s">
        <v>140</v>
      </c>
      <c r="E113" s="29">
        <v>1</v>
      </c>
      <c r="F113" s="30" t="s">
        <v>351</v>
      </c>
      <c r="G113" s="31">
        <v>1</v>
      </c>
      <c r="H113" s="32" t="s">
        <v>135</v>
      </c>
      <c r="I113" s="33"/>
      <c r="J113" s="34"/>
      <c r="K113" s="35"/>
    </row>
    <row r="114" spans="1:11" x14ac:dyDescent="0.35">
      <c r="A114" s="29">
        <v>109</v>
      </c>
      <c r="B114" s="29" t="s">
        <v>342</v>
      </c>
      <c r="C114" s="30" t="s">
        <v>352</v>
      </c>
      <c r="D114" s="29" t="s">
        <v>140</v>
      </c>
      <c r="E114" s="29">
        <v>1</v>
      </c>
      <c r="F114" s="30" t="s">
        <v>353</v>
      </c>
      <c r="G114" s="31">
        <v>1.5</v>
      </c>
      <c r="H114" s="32" t="s">
        <v>135</v>
      </c>
      <c r="I114" s="33"/>
      <c r="J114" s="34"/>
      <c r="K114" s="35"/>
    </row>
    <row r="115" spans="1:11" x14ac:dyDescent="0.35">
      <c r="A115" s="29">
        <v>110</v>
      </c>
      <c r="B115" s="29" t="s">
        <v>342</v>
      </c>
      <c r="C115" s="30" t="s">
        <v>354</v>
      </c>
      <c r="D115" s="29" t="s">
        <v>140</v>
      </c>
      <c r="E115" s="29">
        <v>1</v>
      </c>
      <c r="F115" s="30" t="s">
        <v>355</v>
      </c>
      <c r="G115" s="31">
        <v>0.75</v>
      </c>
      <c r="H115" s="32" t="s">
        <v>135</v>
      </c>
      <c r="I115" s="33"/>
      <c r="J115" s="34"/>
      <c r="K115" s="35"/>
    </row>
    <row r="116" spans="1:11" x14ac:dyDescent="0.35">
      <c r="A116" s="29">
        <v>111</v>
      </c>
      <c r="B116" s="29" t="s">
        <v>342</v>
      </c>
      <c r="C116" s="30" t="s">
        <v>356</v>
      </c>
      <c r="D116" s="29" t="s">
        <v>140</v>
      </c>
      <c r="E116" s="29">
        <v>1</v>
      </c>
      <c r="F116" s="30" t="s">
        <v>357</v>
      </c>
      <c r="G116" s="31">
        <v>1.5</v>
      </c>
      <c r="H116" s="32" t="s">
        <v>135</v>
      </c>
      <c r="I116" s="33"/>
      <c r="J116" s="34"/>
      <c r="K116" s="35"/>
    </row>
    <row r="117" spans="1:11" x14ac:dyDescent="0.35">
      <c r="A117" s="29">
        <v>112</v>
      </c>
      <c r="B117" s="29" t="s">
        <v>342</v>
      </c>
      <c r="C117" s="30" t="s">
        <v>358</v>
      </c>
      <c r="D117" s="29" t="s">
        <v>140</v>
      </c>
      <c r="E117" s="29">
        <v>1</v>
      </c>
      <c r="F117" s="30" t="s">
        <v>359</v>
      </c>
      <c r="G117" s="31">
        <v>1.5</v>
      </c>
      <c r="H117" s="32" t="s">
        <v>135</v>
      </c>
      <c r="I117" s="33"/>
      <c r="J117" s="34"/>
      <c r="K117" s="35"/>
    </row>
    <row r="118" spans="1:11" x14ac:dyDescent="0.35">
      <c r="A118" s="29">
        <v>113</v>
      </c>
      <c r="B118" s="29" t="s">
        <v>342</v>
      </c>
      <c r="C118" s="30" t="s">
        <v>360</v>
      </c>
      <c r="D118" s="29" t="s">
        <v>140</v>
      </c>
      <c r="E118" s="29">
        <v>1</v>
      </c>
      <c r="F118" s="30" t="s">
        <v>361</v>
      </c>
      <c r="G118" s="31">
        <v>0.5</v>
      </c>
      <c r="H118" s="32" t="s">
        <v>135</v>
      </c>
      <c r="I118" s="33"/>
      <c r="J118" s="34"/>
      <c r="K118" s="35"/>
    </row>
    <row r="119" spans="1:11" x14ac:dyDescent="0.35">
      <c r="A119" s="29">
        <v>114</v>
      </c>
      <c r="B119" s="29" t="s">
        <v>342</v>
      </c>
      <c r="C119" s="30" t="s">
        <v>362</v>
      </c>
      <c r="D119" s="29" t="s">
        <v>140</v>
      </c>
      <c r="E119" s="29">
        <v>1</v>
      </c>
      <c r="F119" s="30" t="s">
        <v>363</v>
      </c>
      <c r="G119" s="31">
        <v>1.5</v>
      </c>
      <c r="H119" s="32" t="s">
        <v>135</v>
      </c>
      <c r="I119" s="33"/>
      <c r="J119" s="34"/>
      <c r="K119" s="35"/>
    </row>
    <row r="120" spans="1:11" x14ac:dyDescent="0.35">
      <c r="A120" s="29">
        <v>115</v>
      </c>
      <c r="B120" s="29" t="s">
        <v>342</v>
      </c>
      <c r="C120" s="30" t="s">
        <v>364</v>
      </c>
      <c r="D120" s="29" t="s">
        <v>140</v>
      </c>
      <c r="E120" s="29">
        <v>1</v>
      </c>
      <c r="F120" s="30" t="s">
        <v>365</v>
      </c>
      <c r="G120" s="31">
        <v>0.75</v>
      </c>
      <c r="H120" s="32" t="s">
        <v>135</v>
      </c>
      <c r="I120" s="33"/>
      <c r="J120" s="34"/>
      <c r="K120" s="35"/>
    </row>
    <row r="121" spans="1:11" x14ac:dyDescent="0.35">
      <c r="A121" s="29">
        <v>116</v>
      </c>
      <c r="B121" s="29" t="s">
        <v>342</v>
      </c>
      <c r="C121" s="30" t="s">
        <v>366</v>
      </c>
      <c r="D121" s="29" t="s">
        <v>140</v>
      </c>
      <c r="E121" s="29">
        <v>1</v>
      </c>
      <c r="F121" s="30" t="s">
        <v>367</v>
      </c>
      <c r="G121" s="31">
        <v>0.75</v>
      </c>
      <c r="H121" s="32" t="s">
        <v>135</v>
      </c>
      <c r="I121" s="33"/>
      <c r="J121" s="34"/>
      <c r="K121" s="35"/>
    </row>
    <row r="122" spans="1:11" x14ac:dyDescent="0.35">
      <c r="A122" s="29">
        <v>117</v>
      </c>
      <c r="B122" s="29" t="s">
        <v>342</v>
      </c>
      <c r="C122" s="30" t="s">
        <v>368</v>
      </c>
      <c r="D122" s="29" t="s">
        <v>140</v>
      </c>
      <c r="E122" s="29">
        <v>1</v>
      </c>
      <c r="F122" s="30" t="s">
        <v>369</v>
      </c>
      <c r="G122" s="31">
        <v>0.75</v>
      </c>
      <c r="H122" s="32" t="s">
        <v>135</v>
      </c>
      <c r="I122" s="33"/>
      <c r="J122" s="34"/>
      <c r="K122" s="35"/>
    </row>
    <row r="123" spans="1:11" x14ac:dyDescent="0.35">
      <c r="A123" s="29">
        <v>118</v>
      </c>
      <c r="B123" s="29" t="s">
        <v>342</v>
      </c>
      <c r="C123" s="30" t="s">
        <v>370</v>
      </c>
      <c r="D123" s="29" t="s">
        <v>140</v>
      </c>
      <c r="E123" s="29">
        <v>1</v>
      </c>
      <c r="F123" s="30" t="s">
        <v>371</v>
      </c>
      <c r="G123" s="31">
        <v>0.75</v>
      </c>
      <c r="H123" s="32" t="s">
        <v>135</v>
      </c>
      <c r="I123" s="33"/>
      <c r="J123" s="34"/>
      <c r="K123" s="35"/>
    </row>
    <row r="124" spans="1:11" ht="26" x14ac:dyDescent="0.35">
      <c r="A124" s="29">
        <v>119</v>
      </c>
      <c r="B124" s="29" t="s">
        <v>372</v>
      </c>
      <c r="C124" s="36" t="s">
        <v>373</v>
      </c>
      <c r="D124" s="29" t="s">
        <v>138</v>
      </c>
      <c r="E124" s="29"/>
      <c r="F124" s="30"/>
      <c r="G124" s="31">
        <v>2</v>
      </c>
      <c r="H124" s="32" t="s">
        <v>135</v>
      </c>
      <c r="I124" s="33"/>
      <c r="J124" s="34"/>
      <c r="K124" s="35"/>
    </row>
    <row r="125" spans="1:11" x14ac:dyDescent="0.35">
      <c r="A125" s="29">
        <v>120</v>
      </c>
      <c r="B125" s="29" t="s">
        <v>372</v>
      </c>
      <c r="C125" s="30" t="s">
        <v>374</v>
      </c>
      <c r="D125" s="29" t="s">
        <v>140</v>
      </c>
      <c r="E125" s="29">
        <v>1</v>
      </c>
      <c r="F125" s="30" t="s">
        <v>375</v>
      </c>
      <c r="G125" s="31">
        <v>1</v>
      </c>
      <c r="H125" s="32" t="s">
        <v>135</v>
      </c>
      <c r="I125" s="33"/>
      <c r="J125" s="34"/>
      <c r="K125" s="35"/>
    </row>
    <row r="126" spans="1:11" x14ac:dyDescent="0.35">
      <c r="A126" s="29">
        <v>121</v>
      </c>
      <c r="B126" s="29" t="s">
        <v>372</v>
      </c>
      <c r="C126" s="30" t="s">
        <v>376</v>
      </c>
      <c r="D126" s="29" t="s">
        <v>140</v>
      </c>
      <c r="E126" s="29">
        <v>1</v>
      </c>
      <c r="F126" s="30" t="s">
        <v>377</v>
      </c>
      <c r="G126" s="31">
        <v>1</v>
      </c>
      <c r="H126" s="32" t="s">
        <v>135</v>
      </c>
      <c r="I126" s="33"/>
      <c r="J126" s="34"/>
      <c r="K126" s="35"/>
    </row>
    <row r="127" spans="1:11" x14ac:dyDescent="0.35">
      <c r="A127" s="29">
        <v>122</v>
      </c>
      <c r="B127" s="29" t="s">
        <v>372</v>
      </c>
      <c r="C127" s="30" t="s">
        <v>378</v>
      </c>
      <c r="D127" s="29" t="s">
        <v>140</v>
      </c>
      <c r="E127" s="29">
        <v>1</v>
      </c>
      <c r="F127" s="30" t="s">
        <v>379</v>
      </c>
      <c r="G127" s="31">
        <v>0.75</v>
      </c>
      <c r="H127" s="32" t="s">
        <v>135</v>
      </c>
      <c r="I127" s="33"/>
      <c r="J127" s="34"/>
      <c r="K127" s="35"/>
    </row>
    <row r="128" spans="1:11" x14ac:dyDescent="0.35">
      <c r="A128" s="29">
        <v>123</v>
      </c>
      <c r="B128" s="29" t="s">
        <v>380</v>
      </c>
      <c r="C128" s="36" t="s">
        <v>381</v>
      </c>
      <c r="D128" s="29" t="s">
        <v>138</v>
      </c>
      <c r="E128" s="29"/>
      <c r="F128" s="30"/>
      <c r="G128" s="31">
        <v>6</v>
      </c>
      <c r="H128" s="32" t="s">
        <v>135</v>
      </c>
      <c r="I128" s="33"/>
      <c r="J128" s="34"/>
      <c r="K128" s="35"/>
    </row>
    <row r="129" spans="1:11" x14ac:dyDescent="0.35">
      <c r="A129" s="29">
        <v>124</v>
      </c>
      <c r="B129" s="29" t="s">
        <v>380</v>
      </c>
      <c r="C129" s="30" t="s">
        <v>382</v>
      </c>
      <c r="D129" s="29" t="s">
        <v>140</v>
      </c>
      <c r="E129" s="29">
        <v>1</v>
      </c>
      <c r="F129" s="30" t="s">
        <v>383</v>
      </c>
      <c r="G129" s="31">
        <v>0.5</v>
      </c>
      <c r="H129" s="32" t="s">
        <v>135</v>
      </c>
      <c r="I129" s="33"/>
      <c r="J129" s="34"/>
      <c r="K129" s="35"/>
    </row>
    <row r="130" spans="1:11" x14ac:dyDescent="0.35">
      <c r="A130" s="29">
        <v>125</v>
      </c>
      <c r="B130" s="29" t="s">
        <v>380</v>
      </c>
      <c r="C130" s="30" t="s">
        <v>384</v>
      </c>
      <c r="D130" s="29" t="s">
        <v>140</v>
      </c>
      <c r="E130" s="29">
        <v>1</v>
      </c>
      <c r="F130" s="30" t="s">
        <v>385</v>
      </c>
      <c r="G130" s="31">
        <v>0.5</v>
      </c>
      <c r="H130" s="32" t="s">
        <v>135</v>
      </c>
      <c r="I130" s="33"/>
      <c r="J130" s="34"/>
      <c r="K130" s="35"/>
    </row>
    <row r="131" spans="1:11" x14ac:dyDescent="0.35">
      <c r="A131" s="29">
        <v>126</v>
      </c>
      <c r="B131" s="29" t="s">
        <v>380</v>
      </c>
      <c r="C131" s="30" t="s">
        <v>386</v>
      </c>
      <c r="D131" s="29" t="s">
        <v>140</v>
      </c>
      <c r="E131" s="29">
        <v>1</v>
      </c>
      <c r="F131" s="30" t="s">
        <v>387</v>
      </c>
      <c r="G131" s="31">
        <v>0.5</v>
      </c>
      <c r="H131" s="32" t="s">
        <v>135</v>
      </c>
      <c r="I131" s="33"/>
      <c r="J131" s="34"/>
      <c r="K131" s="35"/>
    </row>
    <row r="132" spans="1:11" x14ac:dyDescent="0.35">
      <c r="A132" s="29">
        <v>127</v>
      </c>
      <c r="B132" s="29" t="s">
        <v>380</v>
      </c>
      <c r="C132" s="30" t="s">
        <v>388</v>
      </c>
      <c r="D132" s="29" t="s">
        <v>140</v>
      </c>
      <c r="E132" s="29">
        <v>1</v>
      </c>
      <c r="F132" s="30" t="s">
        <v>389</v>
      </c>
      <c r="G132" s="31">
        <v>1</v>
      </c>
      <c r="H132" s="32" t="s">
        <v>135</v>
      </c>
      <c r="I132" s="33"/>
      <c r="J132" s="34"/>
      <c r="K132" s="35"/>
    </row>
    <row r="133" spans="1:11" x14ac:dyDescent="0.35">
      <c r="A133" s="29">
        <v>128</v>
      </c>
      <c r="B133" s="29" t="s">
        <v>380</v>
      </c>
      <c r="C133" s="30" t="s">
        <v>390</v>
      </c>
      <c r="D133" s="29" t="s">
        <v>140</v>
      </c>
      <c r="E133" s="29">
        <v>1</v>
      </c>
      <c r="F133" s="30" t="s">
        <v>391</v>
      </c>
      <c r="G133" s="31">
        <v>0.75</v>
      </c>
      <c r="H133" s="32" t="s">
        <v>135</v>
      </c>
      <c r="I133" s="33"/>
      <c r="J133" s="34"/>
      <c r="K133" s="35"/>
    </row>
    <row r="134" spans="1:11" x14ac:dyDescent="0.35">
      <c r="A134" s="29">
        <v>129</v>
      </c>
      <c r="B134" s="29" t="s">
        <v>380</v>
      </c>
      <c r="C134" s="30" t="s">
        <v>392</v>
      </c>
      <c r="D134" s="29" t="s">
        <v>140</v>
      </c>
      <c r="E134" s="29">
        <v>1</v>
      </c>
      <c r="F134" s="30" t="s">
        <v>393</v>
      </c>
      <c r="G134" s="31">
        <v>1</v>
      </c>
      <c r="H134" s="32" t="s">
        <v>135</v>
      </c>
      <c r="I134" s="33"/>
      <c r="J134" s="34"/>
      <c r="K134" s="35"/>
    </row>
    <row r="135" spans="1:11" x14ac:dyDescent="0.35">
      <c r="A135" s="29">
        <v>130</v>
      </c>
      <c r="B135" s="29" t="s">
        <v>380</v>
      </c>
      <c r="C135" s="30" t="s">
        <v>394</v>
      </c>
      <c r="D135" s="29" t="s">
        <v>140</v>
      </c>
      <c r="E135" s="29">
        <v>1</v>
      </c>
      <c r="F135" s="30" t="s">
        <v>395</v>
      </c>
      <c r="G135" s="31">
        <v>1</v>
      </c>
      <c r="H135" s="32" t="s">
        <v>135</v>
      </c>
      <c r="I135" s="33"/>
      <c r="J135" s="34"/>
      <c r="K135" s="35"/>
    </row>
    <row r="136" spans="1:11" x14ac:dyDescent="0.35">
      <c r="A136" s="29">
        <v>131</v>
      </c>
      <c r="B136" s="29" t="s">
        <v>380</v>
      </c>
      <c r="C136" s="30" t="s">
        <v>396</v>
      </c>
      <c r="D136" s="29" t="s">
        <v>140</v>
      </c>
      <c r="E136" s="29">
        <v>1</v>
      </c>
      <c r="F136" s="30" t="s">
        <v>397</v>
      </c>
      <c r="G136" s="31">
        <v>0.75</v>
      </c>
      <c r="H136" s="32" t="s">
        <v>135</v>
      </c>
      <c r="I136" s="33"/>
      <c r="J136" s="34"/>
      <c r="K136" s="35"/>
    </row>
    <row r="137" spans="1:11" x14ac:dyDescent="0.35">
      <c r="A137" s="29">
        <v>132</v>
      </c>
      <c r="B137" s="29" t="s">
        <v>380</v>
      </c>
      <c r="C137" s="30" t="s">
        <v>398</v>
      </c>
      <c r="D137" s="29" t="s">
        <v>140</v>
      </c>
      <c r="E137" s="29">
        <v>1</v>
      </c>
      <c r="F137" s="30" t="s">
        <v>399</v>
      </c>
      <c r="G137" s="31">
        <v>1.5</v>
      </c>
      <c r="H137" s="32" t="s">
        <v>135</v>
      </c>
      <c r="I137" s="33"/>
      <c r="J137" s="34"/>
      <c r="K137" s="35"/>
    </row>
    <row r="138" spans="1:11" x14ac:dyDescent="0.35">
      <c r="A138" s="29">
        <v>133</v>
      </c>
      <c r="B138" s="29" t="s">
        <v>380</v>
      </c>
      <c r="C138" s="30" t="s">
        <v>400</v>
      </c>
      <c r="D138" s="29" t="s">
        <v>140</v>
      </c>
      <c r="E138" s="29">
        <v>1</v>
      </c>
      <c r="F138" s="30" t="s">
        <v>401</v>
      </c>
      <c r="G138" s="31">
        <v>0.5</v>
      </c>
      <c r="H138" s="32" t="s">
        <v>135</v>
      </c>
      <c r="I138" s="33"/>
      <c r="J138" s="34"/>
      <c r="K138" s="35"/>
    </row>
    <row r="139" spans="1:11" x14ac:dyDescent="0.35">
      <c r="A139" s="29">
        <v>134</v>
      </c>
      <c r="B139" s="29" t="s">
        <v>380</v>
      </c>
      <c r="C139" s="30" t="s">
        <v>402</v>
      </c>
      <c r="D139" s="29" t="s">
        <v>140</v>
      </c>
      <c r="E139" s="29">
        <v>1</v>
      </c>
      <c r="F139" s="30" t="s">
        <v>403</v>
      </c>
      <c r="G139" s="31">
        <v>1.5</v>
      </c>
      <c r="H139" s="32" t="s">
        <v>135</v>
      </c>
      <c r="I139" s="33"/>
      <c r="J139" s="34"/>
      <c r="K139" s="35"/>
    </row>
    <row r="140" spans="1:11" x14ac:dyDescent="0.35">
      <c r="A140" s="29">
        <v>135</v>
      </c>
      <c r="B140" s="29" t="s">
        <v>380</v>
      </c>
      <c r="C140" s="30" t="s">
        <v>404</v>
      </c>
      <c r="D140" s="29" t="s">
        <v>140</v>
      </c>
      <c r="E140" s="29">
        <v>1</v>
      </c>
      <c r="F140" s="30" t="s">
        <v>405</v>
      </c>
      <c r="G140" s="31">
        <v>0.75</v>
      </c>
      <c r="H140" s="32" t="s">
        <v>135</v>
      </c>
      <c r="I140" s="33"/>
      <c r="J140" s="34"/>
      <c r="K140" s="35"/>
    </row>
    <row r="141" spans="1:11" x14ac:dyDescent="0.35">
      <c r="A141" s="29">
        <v>136</v>
      </c>
      <c r="B141" s="29" t="s">
        <v>380</v>
      </c>
      <c r="C141" s="30" t="s">
        <v>406</v>
      </c>
      <c r="D141" s="29" t="s">
        <v>140</v>
      </c>
      <c r="E141" s="29">
        <v>1</v>
      </c>
      <c r="F141" s="30" t="s">
        <v>407</v>
      </c>
      <c r="G141" s="31">
        <v>1</v>
      </c>
      <c r="H141" s="32" t="s">
        <v>135</v>
      </c>
      <c r="I141" s="33"/>
      <c r="J141" s="34"/>
      <c r="K141" s="35"/>
    </row>
    <row r="142" spans="1:11" x14ac:dyDescent="0.35">
      <c r="A142" s="29">
        <v>137</v>
      </c>
      <c r="B142" s="29" t="s">
        <v>380</v>
      </c>
      <c r="C142" s="30" t="s">
        <v>408</v>
      </c>
      <c r="D142" s="29" t="s">
        <v>140</v>
      </c>
      <c r="E142" s="29">
        <v>1</v>
      </c>
      <c r="F142" s="30" t="s">
        <v>409</v>
      </c>
      <c r="G142" s="31">
        <v>1</v>
      </c>
      <c r="H142" s="32" t="s">
        <v>135</v>
      </c>
      <c r="I142" s="33"/>
      <c r="J142" s="34"/>
      <c r="K142" s="35"/>
    </row>
    <row r="143" spans="1:11" x14ac:dyDescent="0.35">
      <c r="A143" s="29">
        <v>138</v>
      </c>
      <c r="B143" s="29" t="s">
        <v>380</v>
      </c>
      <c r="C143" s="30" t="s">
        <v>410</v>
      </c>
      <c r="D143" s="29" t="s">
        <v>140</v>
      </c>
      <c r="E143" s="29">
        <v>1</v>
      </c>
      <c r="F143" s="30" t="s">
        <v>411</v>
      </c>
      <c r="G143" s="31">
        <v>1</v>
      </c>
      <c r="H143" s="32" t="s">
        <v>135</v>
      </c>
      <c r="I143" s="33"/>
      <c r="J143" s="34"/>
      <c r="K143" s="35"/>
    </row>
    <row r="144" spans="1:11" ht="25" x14ac:dyDescent="0.35">
      <c r="A144" s="29">
        <v>139</v>
      </c>
      <c r="B144" s="29" t="s">
        <v>412</v>
      </c>
      <c r="C144" s="30" t="s">
        <v>413</v>
      </c>
      <c r="D144" s="29" t="s">
        <v>414</v>
      </c>
      <c r="E144" s="29"/>
      <c r="F144" s="30" t="s">
        <v>415</v>
      </c>
      <c r="G144" s="31">
        <v>10</v>
      </c>
      <c r="H144" s="32" t="s">
        <v>135</v>
      </c>
      <c r="I144" s="33"/>
      <c r="J144" s="34"/>
      <c r="K144" s="35"/>
    </row>
  </sheetData>
  <autoFilter ref="A5:K144" xr:uid="{00000000-0009-0000-0000-000002000000}"/>
  <mergeCells count="1">
    <mergeCell ref="A2:K2"/>
  </mergeCells>
  <conditionalFormatting sqref="A6:K144">
    <cfRule type="expression" dxfId="26" priority="2">
      <formula>$H6="Done"</formula>
    </cfRule>
    <cfRule type="expression" dxfId="25" priority="3">
      <formula>$H6="In progress"</formula>
    </cfRule>
    <cfRule type="expression" dxfId="24" priority="4">
      <formula>$H6="Skipped"</formula>
    </cfRule>
  </conditionalFormatting>
  <dataValidations count="1">
    <dataValidation type="list" allowBlank="1" errorTitle="Status" error="Pick a status from the list." sqref="H6:H500" xr:uid="{00000000-0002-0000-02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zoomScaleNormal="100" workbookViewId="0">
      <pane xSplit="3" ySplit="5" topLeftCell="D29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416</v>
      </c>
    </row>
    <row r="2" spans="1:11" ht="42" customHeight="1" x14ac:dyDescent="0.35">
      <c r="A2" s="37" t="s">
        <v>417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167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125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ht="25" x14ac:dyDescent="0.35">
      <c r="A6" s="29">
        <v>1</v>
      </c>
      <c r="B6" s="29" t="s">
        <v>132</v>
      </c>
      <c r="C6" s="30" t="s">
        <v>418</v>
      </c>
      <c r="D6" s="29" t="s">
        <v>132</v>
      </c>
      <c r="E6" s="29"/>
      <c r="F6" s="30" t="s">
        <v>419</v>
      </c>
      <c r="G6" s="31">
        <v>0.5</v>
      </c>
      <c r="H6" s="32" t="s">
        <v>135</v>
      </c>
      <c r="I6" s="33"/>
      <c r="J6" s="34"/>
      <c r="K6" s="35"/>
    </row>
    <row r="7" spans="1:11" x14ac:dyDescent="0.35">
      <c r="A7" s="29">
        <v>2</v>
      </c>
      <c r="B7" s="29" t="s">
        <v>420</v>
      </c>
      <c r="C7" s="36" t="s">
        <v>421</v>
      </c>
      <c r="D7" s="29" t="s">
        <v>138</v>
      </c>
      <c r="E7" s="29"/>
      <c r="F7" s="30"/>
      <c r="G7" s="31">
        <v>3</v>
      </c>
      <c r="H7" s="32" t="s">
        <v>135</v>
      </c>
      <c r="I7" s="33"/>
      <c r="J7" s="34"/>
      <c r="K7" s="35"/>
    </row>
    <row r="8" spans="1:11" ht="25" x14ac:dyDescent="0.35">
      <c r="A8" s="29">
        <v>3</v>
      </c>
      <c r="B8" s="29" t="s">
        <v>420</v>
      </c>
      <c r="C8" s="30" t="s">
        <v>422</v>
      </c>
      <c r="D8" s="29" t="s">
        <v>140</v>
      </c>
      <c r="E8" s="29">
        <v>7</v>
      </c>
      <c r="F8" s="30" t="s">
        <v>423</v>
      </c>
      <c r="G8" s="31">
        <v>5</v>
      </c>
      <c r="H8" s="32" t="s">
        <v>135</v>
      </c>
      <c r="I8" s="33"/>
      <c r="J8" s="34"/>
      <c r="K8" s="35"/>
    </row>
    <row r="9" spans="1:11" x14ac:dyDescent="0.35">
      <c r="A9" s="29">
        <v>4</v>
      </c>
      <c r="B9" s="29" t="s">
        <v>424</v>
      </c>
      <c r="C9" s="36" t="s">
        <v>425</v>
      </c>
      <c r="D9" s="29" t="s">
        <v>138</v>
      </c>
      <c r="E9" s="29"/>
      <c r="F9" s="30"/>
      <c r="G9" s="31">
        <v>2</v>
      </c>
      <c r="H9" s="32" t="s">
        <v>135</v>
      </c>
      <c r="I9" s="33"/>
      <c r="J9" s="34"/>
      <c r="K9" s="35"/>
    </row>
    <row r="10" spans="1:11" ht="25" x14ac:dyDescent="0.35">
      <c r="A10" s="29">
        <v>5</v>
      </c>
      <c r="B10" s="29" t="s">
        <v>424</v>
      </c>
      <c r="C10" s="30" t="s">
        <v>426</v>
      </c>
      <c r="D10" s="29" t="s">
        <v>140</v>
      </c>
      <c r="E10" s="29">
        <v>3</v>
      </c>
      <c r="F10" s="30" t="s">
        <v>427</v>
      </c>
      <c r="G10" s="31">
        <v>2.5</v>
      </c>
      <c r="H10" s="32" t="s">
        <v>135</v>
      </c>
      <c r="I10" s="33"/>
      <c r="J10" s="34"/>
      <c r="K10" s="35"/>
    </row>
    <row r="11" spans="1:11" x14ac:dyDescent="0.35">
      <c r="A11" s="29">
        <v>6</v>
      </c>
      <c r="B11" s="29" t="s">
        <v>428</v>
      </c>
      <c r="C11" s="36" t="s">
        <v>429</v>
      </c>
      <c r="D11" s="29" t="s">
        <v>138</v>
      </c>
      <c r="E11" s="29"/>
      <c r="F11" s="30"/>
      <c r="G11" s="31">
        <v>3</v>
      </c>
      <c r="H11" s="32" t="s">
        <v>135</v>
      </c>
      <c r="I11" s="33"/>
      <c r="J11" s="34"/>
      <c r="K11" s="35"/>
    </row>
    <row r="12" spans="1:11" ht="37.5" x14ac:dyDescent="0.35">
      <c r="A12" s="29">
        <v>7</v>
      </c>
      <c r="B12" s="29" t="s">
        <v>428</v>
      </c>
      <c r="C12" s="30" t="s">
        <v>430</v>
      </c>
      <c r="D12" s="29" t="s">
        <v>140</v>
      </c>
      <c r="E12" s="29">
        <v>6</v>
      </c>
      <c r="F12" s="30" t="s">
        <v>431</v>
      </c>
      <c r="G12" s="31">
        <v>4.5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432</v>
      </c>
      <c r="C13" s="36" t="s">
        <v>433</v>
      </c>
      <c r="D13" s="29" t="s">
        <v>138</v>
      </c>
      <c r="E13" s="29"/>
      <c r="F13" s="30"/>
      <c r="G13" s="31">
        <v>3</v>
      </c>
      <c r="H13" s="32" t="s">
        <v>135</v>
      </c>
      <c r="I13" s="33"/>
      <c r="J13" s="34"/>
      <c r="K13" s="35"/>
    </row>
    <row r="14" spans="1:11" ht="37.5" x14ac:dyDescent="0.35">
      <c r="A14" s="29">
        <v>9</v>
      </c>
      <c r="B14" s="29" t="s">
        <v>432</v>
      </c>
      <c r="C14" s="30" t="s">
        <v>434</v>
      </c>
      <c r="D14" s="29" t="s">
        <v>140</v>
      </c>
      <c r="E14" s="29">
        <v>7</v>
      </c>
      <c r="F14" s="30" t="s">
        <v>435</v>
      </c>
      <c r="G14" s="31">
        <v>5</v>
      </c>
      <c r="H14" s="32" t="s">
        <v>135</v>
      </c>
      <c r="I14" s="33"/>
      <c r="J14" s="34"/>
      <c r="K14" s="35"/>
    </row>
    <row r="15" spans="1:11" x14ac:dyDescent="0.35">
      <c r="A15" s="29">
        <v>10</v>
      </c>
      <c r="B15" s="29" t="s">
        <v>436</v>
      </c>
      <c r="C15" s="36" t="s">
        <v>437</v>
      </c>
      <c r="D15" s="29" t="s">
        <v>138</v>
      </c>
      <c r="E15" s="29"/>
      <c r="F15" s="30"/>
      <c r="G15" s="31">
        <v>3</v>
      </c>
      <c r="H15" s="32" t="s">
        <v>135</v>
      </c>
      <c r="I15" s="33"/>
      <c r="J15" s="34"/>
      <c r="K15" s="35"/>
    </row>
    <row r="16" spans="1:11" ht="37.5" x14ac:dyDescent="0.35">
      <c r="A16" s="29">
        <v>11</v>
      </c>
      <c r="B16" s="29" t="s">
        <v>436</v>
      </c>
      <c r="C16" s="30" t="s">
        <v>438</v>
      </c>
      <c r="D16" s="29" t="s">
        <v>140</v>
      </c>
      <c r="E16" s="29">
        <v>10</v>
      </c>
      <c r="F16" s="30" t="s">
        <v>439</v>
      </c>
      <c r="G16" s="31">
        <v>8</v>
      </c>
      <c r="H16" s="32" t="s">
        <v>135</v>
      </c>
      <c r="I16" s="33"/>
      <c r="J16" s="34"/>
      <c r="K16" s="35"/>
    </row>
    <row r="17" spans="1:11" x14ac:dyDescent="0.35">
      <c r="A17" s="29">
        <v>12</v>
      </c>
      <c r="B17" s="29" t="s">
        <v>440</v>
      </c>
      <c r="C17" s="36" t="s">
        <v>441</v>
      </c>
      <c r="D17" s="29" t="s">
        <v>138</v>
      </c>
      <c r="E17" s="29"/>
      <c r="F17" s="30"/>
      <c r="G17" s="31">
        <v>3</v>
      </c>
      <c r="H17" s="32" t="s">
        <v>135</v>
      </c>
      <c r="I17" s="33"/>
      <c r="J17" s="34"/>
      <c r="K17" s="35"/>
    </row>
    <row r="18" spans="1:11" ht="37.5" x14ac:dyDescent="0.35">
      <c r="A18" s="29">
        <v>13</v>
      </c>
      <c r="B18" s="29" t="s">
        <v>440</v>
      </c>
      <c r="C18" s="30" t="s">
        <v>442</v>
      </c>
      <c r="D18" s="29" t="s">
        <v>140</v>
      </c>
      <c r="E18" s="29">
        <v>6</v>
      </c>
      <c r="F18" s="30" t="s">
        <v>443</v>
      </c>
      <c r="G18" s="31">
        <v>5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444</v>
      </c>
      <c r="C19" s="36" t="s">
        <v>445</v>
      </c>
      <c r="D19" s="29" t="s">
        <v>138</v>
      </c>
      <c r="E19" s="29"/>
      <c r="F19" s="30"/>
      <c r="G19" s="31">
        <v>3</v>
      </c>
      <c r="H19" s="32" t="s">
        <v>135</v>
      </c>
      <c r="I19" s="33"/>
      <c r="J19" s="34"/>
      <c r="K19" s="35"/>
    </row>
    <row r="20" spans="1:11" ht="37.5" x14ac:dyDescent="0.35">
      <c r="A20" s="29">
        <v>15</v>
      </c>
      <c r="B20" s="29" t="s">
        <v>444</v>
      </c>
      <c r="C20" s="30" t="s">
        <v>446</v>
      </c>
      <c r="D20" s="29" t="s">
        <v>140</v>
      </c>
      <c r="E20" s="29">
        <v>7</v>
      </c>
      <c r="F20" s="30" t="s">
        <v>447</v>
      </c>
      <c r="G20" s="31">
        <v>6</v>
      </c>
      <c r="H20" s="32" t="s">
        <v>135</v>
      </c>
      <c r="I20" s="33"/>
      <c r="J20" s="34"/>
      <c r="K20" s="35"/>
    </row>
    <row r="21" spans="1:11" x14ac:dyDescent="0.35">
      <c r="A21" s="29">
        <v>16</v>
      </c>
      <c r="B21" s="29" t="s">
        <v>448</v>
      </c>
      <c r="C21" s="36" t="s">
        <v>449</v>
      </c>
      <c r="D21" s="29" t="s">
        <v>138</v>
      </c>
      <c r="E21" s="29"/>
      <c r="F21" s="30"/>
      <c r="G21" s="31">
        <v>1.5</v>
      </c>
      <c r="H21" s="32" t="s">
        <v>135</v>
      </c>
      <c r="I21" s="33"/>
      <c r="J21" s="34"/>
      <c r="K21" s="35"/>
    </row>
    <row r="22" spans="1:11" ht="25" x14ac:dyDescent="0.35">
      <c r="A22" s="29">
        <v>17</v>
      </c>
      <c r="B22" s="29" t="s">
        <v>448</v>
      </c>
      <c r="C22" s="30" t="s">
        <v>450</v>
      </c>
      <c r="D22" s="29" t="s">
        <v>140</v>
      </c>
      <c r="E22" s="29">
        <v>2</v>
      </c>
      <c r="F22" s="30" t="s">
        <v>451</v>
      </c>
      <c r="G22" s="31">
        <v>1.5</v>
      </c>
      <c r="H22" s="32" t="s">
        <v>135</v>
      </c>
      <c r="I22" s="33"/>
      <c r="J22" s="34"/>
      <c r="K22" s="35"/>
    </row>
    <row r="23" spans="1:11" x14ac:dyDescent="0.35">
      <c r="A23" s="29">
        <v>18</v>
      </c>
      <c r="B23" s="29" t="s">
        <v>452</v>
      </c>
      <c r="C23" s="36" t="s">
        <v>453</v>
      </c>
      <c r="D23" s="29" t="s">
        <v>138</v>
      </c>
      <c r="E23" s="29"/>
      <c r="F23" s="30"/>
      <c r="G23" s="31">
        <v>6</v>
      </c>
      <c r="H23" s="32" t="s">
        <v>135</v>
      </c>
      <c r="I23" s="33"/>
      <c r="J23" s="34"/>
      <c r="K23" s="35"/>
    </row>
    <row r="24" spans="1:11" ht="37.5" x14ac:dyDescent="0.35">
      <c r="A24" s="29">
        <v>19</v>
      </c>
      <c r="B24" s="29" t="s">
        <v>452</v>
      </c>
      <c r="C24" s="30" t="s">
        <v>454</v>
      </c>
      <c r="D24" s="29" t="s">
        <v>140</v>
      </c>
      <c r="E24" s="29">
        <v>12</v>
      </c>
      <c r="F24" s="30" t="s">
        <v>455</v>
      </c>
      <c r="G24" s="31">
        <v>9.5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456</v>
      </c>
      <c r="C25" s="36" t="s">
        <v>457</v>
      </c>
      <c r="D25" s="29" t="s">
        <v>138</v>
      </c>
      <c r="E25" s="29"/>
      <c r="F25" s="30"/>
      <c r="G25" s="31">
        <v>4</v>
      </c>
      <c r="H25" s="32" t="s">
        <v>135</v>
      </c>
      <c r="I25" s="33"/>
      <c r="J25" s="34"/>
      <c r="K25" s="35"/>
    </row>
    <row r="26" spans="1:11" ht="37.5" x14ac:dyDescent="0.35">
      <c r="A26" s="29">
        <v>21</v>
      </c>
      <c r="B26" s="29" t="s">
        <v>456</v>
      </c>
      <c r="C26" s="30" t="s">
        <v>458</v>
      </c>
      <c r="D26" s="29" t="s">
        <v>140</v>
      </c>
      <c r="E26" s="29">
        <v>8</v>
      </c>
      <c r="F26" s="30" t="s">
        <v>459</v>
      </c>
      <c r="G26" s="31">
        <v>6</v>
      </c>
      <c r="H26" s="32" t="s">
        <v>135</v>
      </c>
      <c r="I26" s="33"/>
      <c r="J26" s="34"/>
      <c r="K26" s="35"/>
    </row>
    <row r="27" spans="1:11" x14ac:dyDescent="0.35">
      <c r="A27" s="29">
        <v>22</v>
      </c>
      <c r="B27" s="29" t="s">
        <v>460</v>
      </c>
      <c r="C27" s="36" t="s">
        <v>461</v>
      </c>
      <c r="D27" s="29" t="s">
        <v>138</v>
      </c>
      <c r="E27" s="29"/>
      <c r="F27" s="30"/>
      <c r="G27" s="31">
        <v>5</v>
      </c>
      <c r="H27" s="32" t="s">
        <v>135</v>
      </c>
      <c r="I27" s="33"/>
      <c r="J27" s="34"/>
      <c r="K27" s="35"/>
    </row>
    <row r="28" spans="1:11" ht="37.5" x14ac:dyDescent="0.35">
      <c r="A28" s="29">
        <v>23</v>
      </c>
      <c r="B28" s="29" t="s">
        <v>460</v>
      </c>
      <c r="C28" s="30" t="s">
        <v>462</v>
      </c>
      <c r="D28" s="29" t="s">
        <v>140</v>
      </c>
      <c r="E28" s="29">
        <v>10</v>
      </c>
      <c r="F28" s="30" t="s">
        <v>463</v>
      </c>
      <c r="G28" s="31">
        <v>8</v>
      </c>
      <c r="H28" s="32" t="s">
        <v>135</v>
      </c>
      <c r="I28" s="33"/>
      <c r="J28" s="34"/>
      <c r="K28" s="35"/>
    </row>
    <row r="29" spans="1:11" x14ac:dyDescent="0.35">
      <c r="A29" s="29">
        <v>24</v>
      </c>
      <c r="B29" s="29" t="s">
        <v>464</v>
      </c>
      <c r="C29" s="36" t="s">
        <v>465</v>
      </c>
      <c r="D29" s="29" t="s">
        <v>138</v>
      </c>
      <c r="E29" s="29"/>
      <c r="F29" s="30"/>
      <c r="G29" s="31">
        <v>4</v>
      </c>
      <c r="H29" s="32" t="s">
        <v>135</v>
      </c>
      <c r="I29" s="33"/>
      <c r="J29" s="34"/>
      <c r="K29" s="35"/>
    </row>
    <row r="30" spans="1:11" ht="37.5" x14ac:dyDescent="0.35">
      <c r="A30" s="29">
        <v>25</v>
      </c>
      <c r="B30" s="29" t="s">
        <v>464</v>
      </c>
      <c r="C30" s="30" t="s">
        <v>466</v>
      </c>
      <c r="D30" s="29" t="s">
        <v>140</v>
      </c>
      <c r="E30" s="29">
        <v>7</v>
      </c>
      <c r="F30" s="30" t="s">
        <v>467</v>
      </c>
      <c r="G30" s="31">
        <v>5.5</v>
      </c>
      <c r="H30" s="32" t="s">
        <v>135</v>
      </c>
      <c r="I30" s="33"/>
      <c r="J30" s="34"/>
      <c r="K30" s="35"/>
    </row>
    <row r="31" spans="1:11" x14ac:dyDescent="0.35">
      <c r="A31" s="29">
        <v>26</v>
      </c>
      <c r="B31" s="29" t="s">
        <v>468</v>
      </c>
      <c r="C31" s="36" t="s">
        <v>469</v>
      </c>
      <c r="D31" s="29" t="s">
        <v>138</v>
      </c>
      <c r="E31" s="29"/>
      <c r="F31" s="30"/>
      <c r="G31" s="31">
        <v>5</v>
      </c>
      <c r="H31" s="32" t="s">
        <v>135</v>
      </c>
      <c r="I31" s="33"/>
      <c r="J31" s="34"/>
      <c r="K31" s="35"/>
    </row>
    <row r="32" spans="1:11" ht="37.5" x14ac:dyDescent="0.35">
      <c r="A32" s="29">
        <v>27</v>
      </c>
      <c r="B32" s="29" t="s">
        <v>468</v>
      </c>
      <c r="C32" s="30" t="s">
        <v>470</v>
      </c>
      <c r="D32" s="29" t="s">
        <v>140</v>
      </c>
      <c r="E32" s="29">
        <v>12</v>
      </c>
      <c r="F32" s="30" t="s">
        <v>471</v>
      </c>
      <c r="G32" s="31">
        <v>9</v>
      </c>
      <c r="H32" s="32" t="s">
        <v>135</v>
      </c>
      <c r="I32" s="33"/>
      <c r="J32" s="34"/>
      <c r="K32" s="35"/>
    </row>
    <row r="33" spans="1:11" x14ac:dyDescent="0.35">
      <c r="A33" s="29">
        <v>28</v>
      </c>
      <c r="B33" s="29" t="s">
        <v>472</v>
      </c>
      <c r="C33" s="36" t="s">
        <v>473</v>
      </c>
      <c r="D33" s="29" t="s">
        <v>138</v>
      </c>
      <c r="E33" s="29"/>
      <c r="F33" s="30"/>
      <c r="G33" s="31">
        <v>2</v>
      </c>
      <c r="H33" s="32" t="s">
        <v>135</v>
      </c>
      <c r="I33" s="33"/>
      <c r="J33" s="34"/>
      <c r="K33" s="35"/>
    </row>
    <row r="34" spans="1:11" ht="25" x14ac:dyDescent="0.35">
      <c r="A34" s="29">
        <v>29</v>
      </c>
      <c r="B34" s="29" t="s">
        <v>472</v>
      </c>
      <c r="C34" s="30" t="s">
        <v>474</v>
      </c>
      <c r="D34" s="29" t="s">
        <v>140</v>
      </c>
      <c r="E34" s="29">
        <v>4</v>
      </c>
      <c r="F34" s="30" t="s">
        <v>475</v>
      </c>
      <c r="G34" s="31">
        <v>3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476</v>
      </c>
      <c r="C35" s="36" t="s">
        <v>477</v>
      </c>
      <c r="D35" s="29" t="s">
        <v>138</v>
      </c>
      <c r="E35" s="29"/>
      <c r="F35" s="30"/>
      <c r="G35" s="31">
        <v>3</v>
      </c>
      <c r="H35" s="32" t="s">
        <v>135</v>
      </c>
      <c r="I35" s="33"/>
      <c r="J35" s="34"/>
      <c r="K35" s="35"/>
    </row>
    <row r="36" spans="1:11" ht="37.5" x14ac:dyDescent="0.35">
      <c r="A36" s="29">
        <v>31</v>
      </c>
      <c r="B36" s="29" t="s">
        <v>476</v>
      </c>
      <c r="C36" s="30" t="s">
        <v>478</v>
      </c>
      <c r="D36" s="29" t="s">
        <v>140</v>
      </c>
      <c r="E36" s="29">
        <v>7</v>
      </c>
      <c r="F36" s="30" t="s">
        <v>479</v>
      </c>
      <c r="G36" s="31">
        <v>5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480</v>
      </c>
      <c r="C37" s="36" t="s">
        <v>481</v>
      </c>
      <c r="D37" s="29" t="s">
        <v>138</v>
      </c>
      <c r="E37" s="29"/>
      <c r="F37" s="30"/>
      <c r="G37" s="31">
        <v>3</v>
      </c>
      <c r="H37" s="32" t="s">
        <v>135</v>
      </c>
      <c r="I37" s="33"/>
      <c r="J37" s="34"/>
      <c r="K37" s="35"/>
    </row>
    <row r="38" spans="1:11" ht="25" x14ac:dyDescent="0.35">
      <c r="A38" s="29">
        <v>33</v>
      </c>
      <c r="B38" s="29" t="s">
        <v>480</v>
      </c>
      <c r="C38" s="30" t="s">
        <v>482</v>
      </c>
      <c r="D38" s="29" t="s">
        <v>140</v>
      </c>
      <c r="E38" s="29">
        <v>6</v>
      </c>
      <c r="F38" s="30" t="s">
        <v>483</v>
      </c>
      <c r="G38" s="31">
        <v>4.5</v>
      </c>
      <c r="H38" s="32" t="s">
        <v>135</v>
      </c>
      <c r="I38" s="33"/>
      <c r="J38" s="34"/>
      <c r="K38" s="35"/>
    </row>
    <row r="39" spans="1:11" x14ac:dyDescent="0.35">
      <c r="A39" s="29">
        <v>34</v>
      </c>
      <c r="B39" s="29" t="s">
        <v>484</v>
      </c>
      <c r="C39" s="36" t="s">
        <v>485</v>
      </c>
      <c r="D39" s="29" t="s">
        <v>138</v>
      </c>
      <c r="E39" s="29"/>
      <c r="F39" s="30"/>
      <c r="G39" s="31">
        <v>3</v>
      </c>
      <c r="H39" s="32" t="s">
        <v>135</v>
      </c>
      <c r="I39" s="33"/>
      <c r="J39" s="34"/>
      <c r="K39" s="35"/>
    </row>
    <row r="40" spans="1:11" ht="25" x14ac:dyDescent="0.35">
      <c r="A40" s="29">
        <v>35</v>
      </c>
      <c r="B40" s="29" t="s">
        <v>484</v>
      </c>
      <c r="C40" s="30" t="s">
        <v>486</v>
      </c>
      <c r="D40" s="29" t="s">
        <v>140</v>
      </c>
      <c r="E40" s="29">
        <v>6</v>
      </c>
      <c r="F40" s="30" t="s">
        <v>487</v>
      </c>
      <c r="G40" s="31">
        <v>5</v>
      </c>
      <c r="H40" s="32" t="s">
        <v>135</v>
      </c>
      <c r="I40" s="33"/>
      <c r="J40" s="34"/>
      <c r="K40" s="35"/>
    </row>
    <row r="41" spans="1:11" x14ac:dyDescent="0.35">
      <c r="A41" s="29">
        <v>36</v>
      </c>
      <c r="B41" s="29" t="s">
        <v>488</v>
      </c>
      <c r="C41" s="36" t="s">
        <v>489</v>
      </c>
      <c r="D41" s="29" t="s">
        <v>138</v>
      </c>
      <c r="E41" s="29"/>
      <c r="F41" s="30"/>
      <c r="G41" s="31">
        <v>3</v>
      </c>
      <c r="H41" s="32" t="s">
        <v>135</v>
      </c>
      <c r="I41" s="33"/>
      <c r="J41" s="34"/>
      <c r="K41" s="35"/>
    </row>
    <row r="42" spans="1:11" ht="25" x14ac:dyDescent="0.35">
      <c r="A42" s="29">
        <v>37</v>
      </c>
      <c r="B42" s="29" t="s">
        <v>488</v>
      </c>
      <c r="C42" s="30" t="s">
        <v>490</v>
      </c>
      <c r="D42" s="29" t="s">
        <v>140</v>
      </c>
      <c r="E42" s="29">
        <v>5</v>
      </c>
      <c r="F42" s="30" t="s">
        <v>491</v>
      </c>
      <c r="G42" s="31">
        <v>4</v>
      </c>
      <c r="H42" s="32" t="s">
        <v>135</v>
      </c>
      <c r="I42" s="33"/>
      <c r="J42" s="34"/>
      <c r="K42" s="35"/>
    </row>
    <row r="43" spans="1:11" ht="25" x14ac:dyDescent="0.35">
      <c r="A43" s="29">
        <v>38</v>
      </c>
      <c r="B43" s="29" t="s">
        <v>412</v>
      </c>
      <c r="C43" s="30" t="s">
        <v>413</v>
      </c>
      <c r="D43" s="29" t="s">
        <v>414</v>
      </c>
      <c r="E43" s="29"/>
      <c r="F43" s="30" t="s">
        <v>415</v>
      </c>
      <c r="G43" s="31">
        <v>10</v>
      </c>
      <c r="H43" s="32" t="s">
        <v>135</v>
      </c>
      <c r="I43" s="33"/>
      <c r="J43" s="34"/>
      <c r="K43" s="35"/>
    </row>
  </sheetData>
  <autoFilter ref="A5:K43" xr:uid="{00000000-0009-0000-0000-000003000000}"/>
  <mergeCells count="1">
    <mergeCell ref="A2:K2"/>
  </mergeCells>
  <conditionalFormatting sqref="A6:K43">
    <cfRule type="expression" dxfId="23" priority="2">
      <formula>$H6="Done"</formula>
    </cfRule>
    <cfRule type="expression" dxfId="22" priority="3">
      <formula>$H6="In progress"</formula>
    </cfRule>
    <cfRule type="expression" dxfId="21" priority="4">
      <formula>$H6="Skipped"</formula>
    </cfRule>
  </conditionalFormatting>
  <dataValidations count="1">
    <dataValidation type="list" allowBlank="1" errorTitle="Status" error="Pick a status from the list." sqref="H6:H500" xr:uid="{00000000-0002-0000-03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1"/>
  <sheetViews>
    <sheetView zoomScaleNormal="100" workbookViewId="0">
      <pane xSplit="3" ySplit="5" topLeftCell="D118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492</v>
      </c>
    </row>
    <row r="2" spans="1:11" ht="42" customHeight="1" x14ac:dyDescent="0.35">
      <c r="A2" s="37" t="s">
        <v>493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177.05000000000004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150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x14ac:dyDescent="0.35">
      <c r="A6" s="29">
        <v>1</v>
      </c>
      <c r="B6" s="29" t="s">
        <v>420</v>
      </c>
      <c r="C6" s="36" t="s">
        <v>494</v>
      </c>
      <c r="D6" s="29" t="s">
        <v>138</v>
      </c>
      <c r="E6" s="29"/>
      <c r="F6" s="30"/>
      <c r="G6" s="31">
        <v>3</v>
      </c>
      <c r="H6" s="32" t="s">
        <v>135</v>
      </c>
      <c r="I6" s="33"/>
      <c r="J6" s="34"/>
      <c r="K6" s="35"/>
    </row>
    <row r="7" spans="1:11" ht="37.5" x14ac:dyDescent="0.35">
      <c r="A7" s="29">
        <v>2</v>
      </c>
      <c r="B7" s="29" t="s">
        <v>420</v>
      </c>
      <c r="C7" s="30" t="s">
        <v>495</v>
      </c>
      <c r="D7" s="29" t="s">
        <v>140</v>
      </c>
      <c r="E7" s="29">
        <v>5</v>
      </c>
      <c r="F7" s="30" t="s">
        <v>496</v>
      </c>
      <c r="G7" s="31">
        <v>4.5</v>
      </c>
      <c r="H7" s="32" t="s">
        <v>135</v>
      </c>
      <c r="I7" s="33"/>
      <c r="J7" s="34"/>
      <c r="K7" s="35"/>
    </row>
    <row r="8" spans="1:11" x14ac:dyDescent="0.35">
      <c r="A8" s="29">
        <v>3</v>
      </c>
      <c r="B8" s="29" t="s">
        <v>424</v>
      </c>
      <c r="C8" s="36" t="s">
        <v>497</v>
      </c>
      <c r="D8" s="29" t="s">
        <v>138</v>
      </c>
      <c r="E8" s="29"/>
      <c r="F8" s="30"/>
      <c r="G8" s="31">
        <v>3</v>
      </c>
      <c r="H8" s="32" t="s">
        <v>135</v>
      </c>
      <c r="I8" s="33"/>
      <c r="J8" s="34"/>
      <c r="K8" s="35"/>
    </row>
    <row r="9" spans="1:11" ht="25" x14ac:dyDescent="0.35">
      <c r="A9" s="29">
        <v>4</v>
      </c>
      <c r="B9" s="29" t="s">
        <v>424</v>
      </c>
      <c r="C9" s="30" t="s">
        <v>498</v>
      </c>
      <c r="D9" s="29" t="s">
        <v>140</v>
      </c>
      <c r="E9" s="29">
        <v>3</v>
      </c>
      <c r="F9" s="30" t="s">
        <v>499</v>
      </c>
      <c r="G9" s="31">
        <v>2.7</v>
      </c>
      <c r="H9" s="32" t="s">
        <v>135</v>
      </c>
      <c r="I9" s="33"/>
      <c r="J9" s="34"/>
      <c r="K9" s="35"/>
    </row>
    <row r="10" spans="1:11" x14ac:dyDescent="0.35">
      <c r="A10" s="29">
        <v>5</v>
      </c>
      <c r="B10" s="29" t="s">
        <v>428</v>
      </c>
      <c r="C10" s="36" t="s">
        <v>500</v>
      </c>
      <c r="D10" s="29" t="s">
        <v>138</v>
      </c>
      <c r="E10" s="29"/>
      <c r="F10" s="30"/>
      <c r="G10" s="31">
        <v>4</v>
      </c>
      <c r="H10" s="32" t="s">
        <v>135</v>
      </c>
      <c r="I10" s="33"/>
      <c r="J10" s="34"/>
      <c r="K10" s="35"/>
    </row>
    <row r="11" spans="1:11" ht="25" x14ac:dyDescent="0.35">
      <c r="A11" s="29">
        <v>6</v>
      </c>
      <c r="B11" s="29" t="s">
        <v>428</v>
      </c>
      <c r="C11" s="30" t="s">
        <v>501</v>
      </c>
      <c r="D11" s="29" t="s">
        <v>140</v>
      </c>
      <c r="E11" s="29">
        <v>5</v>
      </c>
      <c r="F11" s="30" t="s">
        <v>502</v>
      </c>
      <c r="G11" s="31">
        <v>4.5</v>
      </c>
      <c r="H11" s="32" t="s">
        <v>135</v>
      </c>
      <c r="I11" s="33"/>
      <c r="J11" s="34"/>
      <c r="K11" s="35"/>
    </row>
    <row r="12" spans="1:11" x14ac:dyDescent="0.35">
      <c r="A12" s="29">
        <v>7</v>
      </c>
      <c r="B12" s="29" t="s">
        <v>428</v>
      </c>
      <c r="C12" s="30" t="s">
        <v>503</v>
      </c>
      <c r="D12" s="29" t="s">
        <v>140</v>
      </c>
      <c r="E12" s="29">
        <v>1</v>
      </c>
      <c r="F12" s="30" t="s">
        <v>504</v>
      </c>
      <c r="G12" s="31">
        <v>0.4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428</v>
      </c>
      <c r="C13" s="30" t="s">
        <v>505</v>
      </c>
      <c r="D13" s="29" t="s">
        <v>140</v>
      </c>
      <c r="E13" s="29">
        <v>1</v>
      </c>
      <c r="F13" s="30" t="s">
        <v>504</v>
      </c>
      <c r="G13" s="31">
        <v>0.4</v>
      </c>
      <c r="H13" s="32" t="s">
        <v>135</v>
      </c>
      <c r="I13" s="33"/>
      <c r="J13" s="34"/>
      <c r="K13" s="35"/>
    </row>
    <row r="14" spans="1:11" x14ac:dyDescent="0.35">
      <c r="A14" s="29">
        <v>9</v>
      </c>
      <c r="B14" s="29" t="s">
        <v>428</v>
      </c>
      <c r="C14" s="30" t="s">
        <v>506</v>
      </c>
      <c r="D14" s="29" t="s">
        <v>140</v>
      </c>
      <c r="E14" s="29">
        <v>1</v>
      </c>
      <c r="F14" s="30" t="s">
        <v>504</v>
      </c>
      <c r="G14" s="31">
        <v>0.4</v>
      </c>
      <c r="H14" s="32" t="s">
        <v>135</v>
      </c>
      <c r="I14" s="33"/>
      <c r="J14" s="34"/>
      <c r="K14" s="35"/>
    </row>
    <row r="15" spans="1:11" x14ac:dyDescent="0.35">
      <c r="A15" s="29">
        <v>10</v>
      </c>
      <c r="B15" s="29" t="s">
        <v>428</v>
      </c>
      <c r="C15" s="30" t="s">
        <v>507</v>
      </c>
      <c r="D15" s="29" t="s">
        <v>140</v>
      </c>
      <c r="E15" s="29">
        <v>1</v>
      </c>
      <c r="F15" s="30" t="s">
        <v>508</v>
      </c>
      <c r="G15" s="31">
        <v>0.75</v>
      </c>
      <c r="H15" s="32" t="s">
        <v>135</v>
      </c>
      <c r="I15" s="33"/>
      <c r="J15" s="34"/>
      <c r="K15" s="35"/>
    </row>
    <row r="16" spans="1:11" x14ac:dyDescent="0.35">
      <c r="A16" s="29">
        <v>11</v>
      </c>
      <c r="B16" s="29" t="s">
        <v>428</v>
      </c>
      <c r="C16" s="30" t="s">
        <v>509</v>
      </c>
      <c r="D16" s="29" t="s">
        <v>140</v>
      </c>
      <c r="E16" s="29">
        <v>1</v>
      </c>
      <c r="F16" s="30" t="s">
        <v>508</v>
      </c>
      <c r="G16" s="31">
        <v>0.75</v>
      </c>
      <c r="H16" s="32" t="s">
        <v>135</v>
      </c>
      <c r="I16" s="33"/>
      <c r="J16" s="34"/>
      <c r="K16" s="35"/>
    </row>
    <row r="17" spans="1:11" x14ac:dyDescent="0.35">
      <c r="A17" s="29">
        <v>12</v>
      </c>
      <c r="B17" s="29" t="s">
        <v>428</v>
      </c>
      <c r="C17" s="30" t="s">
        <v>510</v>
      </c>
      <c r="D17" s="29" t="s">
        <v>140</v>
      </c>
      <c r="E17" s="29">
        <v>1</v>
      </c>
      <c r="F17" s="30" t="s">
        <v>504</v>
      </c>
      <c r="G17" s="31">
        <v>0.4</v>
      </c>
      <c r="H17" s="32" t="s">
        <v>135</v>
      </c>
      <c r="I17" s="33"/>
      <c r="J17" s="34"/>
      <c r="K17" s="35"/>
    </row>
    <row r="18" spans="1:11" x14ac:dyDescent="0.35">
      <c r="A18" s="29">
        <v>13</v>
      </c>
      <c r="B18" s="29" t="s">
        <v>428</v>
      </c>
      <c r="C18" s="30" t="s">
        <v>511</v>
      </c>
      <c r="D18" s="29" t="s">
        <v>140</v>
      </c>
      <c r="E18" s="29">
        <v>1</v>
      </c>
      <c r="F18" s="30" t="s">
        <v>504</v>
      </c>
      <c r="G18" s="31">
        <v>0.4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428</v>
      </c>
      <c r="C19" s="30" t="s">
        <v>512</v>
      </c>
      <c r="D19" s="29" t="s">
        <v>140</v>
      </c>
      <c r="E19" s="29">
        <v>1</v>
      </c>
      <c r="F19" s="30" t="s">
        <v>504</v>
      </c>
      <c r="G19" s="31">
        <v>0.4</v>
      </c>
      <c r="H19" s="32" t="s">
        <v>135</v>
      </c>
      <c r="I19" s="33"/>
      <c r="J19" s="34"/>
      <c r="K19" s="35"/>
    </row>
    <row r="20" spans="1:11" x14ac:dyDescent="0.35">
      <c r="A20" s="29">
        <v>15</v>
      </c>
      <c r="B20" s="29" t="s">
        <v>428</v>
      </c>
      <c r="C20" s="30" t="s">
        <v>513</v>
      </c>
      <c r="D20" s="29" t="s">
        <v>140</v>
      </c>
      <c r="E20" s="29">
        <v>1</v>
      </c>
      <c r="F20" s="30" t="s">
        <v>508</v>
      </c>
      <c r="G20" s="31">
        <v>0.75</v>
      </c>
      <c r="H20" s="32" t="s">
        <v>135</v>
      </c>
      <c r="I20" s="33"/>
      <c r="J20" s="34"/>
      <c r="K20" s="35"/>
    </row>
    <row r="21" spans="1:11" x14ac:dyDescent="0.35">
      <c r="A21" s="29">
        <v>16</v>
      </c>
      <c r="B21" s="29" t="s">
        <v>428</v>
      </c>
      <c r="C21" s="30" t="s">
        <v>514</v>
      </c>
      <c r="D21" s="29" t="s">
        <v>140</v>
      </c>
      <c r="E21" s="29">
        <v>1</v>
      </c>
      <c r="F21" s="30" t="s">
        <v>508</v>
      </c>
      <c r="G21" s="31">
        <v>0.75</v>
      </c>
      <c r="H21" s="32" t="s">
        <v>135</v>
      </c>
      <c r="I21" s="33"/>
      <c r="J21" s="34"/>
      <c r="K21" s="35"/>
    </row>
    <row r="22" spans="1:11" x14ac:dyDescent="0.35">
      <c r="A22" s="29">
        <v>17</v>
      </c>
      <c r="B22" s="29" t="s">
        <v>428</v>
      </c>
      <c r="C22" s="30" t="s">
        <v>515</v>
      </c>
      <c r="D22" s="29" t="s">
        <v>140</v>
      </c>
      <c r="E22" s="29">
        <v>1</v>
      </c>
      <c r="F22" s="30" t="s">
        <v>516</v>
      </c>
      <c r="G22" s="31">
        <v>1.25</v>
      </c>
      <c r="H22" s="32" t="s">
        <v>135</v>
      </c>
      <c r="I22" s="33"/>
      <c r="J22" s="34"/>
      <c r="K22" s="35"/>
    </row>
    <row r="23" spans="1:11" x14ac:dyDescent="0.35">
      <c r="A23" s="29">
        <v>18</v>
      </c>
      <c r="B23" s="29" t="s">
        <v>428</v>
      </c>
      <c r="C23" s="30" t="s">
        <v>517</v>
      </c>
      <c r="D23" s="29" t="s">
        <v>140</v>
      </c>
      <c r="E23" s="29">
        <v>1</v>
      </c>
      <c r="F23" s="30" t="s">
        <v>508</v>
      </c>
      <c r="G23" s="31">
        <v>0.75</v>
      </c>
      <c r="H23" s="32" t="s">
        <v>135</v>
      </c>
      <c r="I23" s="33"/>
      <c r="J23" s="34"/>
      <c r="K23" s="35"/>
    </row>
    <row r="24" spans="1:11" x14ac:dyDescent="0.35">
      <c r="A24" s="29">
        <v>19</v>
      </c>
      <c r="B24" s="29" t="s">
        <v>428</v>
      </c>
      <c r="C24" s="30" t="s">
        <v>518</v>
      </c>
      <c r="D24" s="29" t="s">
        <v>140</v>
      </c>
      <c r="E24" s="29">
        <v>1</v>
      </c>
      <c r="F24" s="30" t="s">
        <v>504</v>
      </c>
      <c r="G24" s="31">
        <v>0.4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428</v>
      </c>
      <c r="C25" s="30" t="s">
        <v>519</v>
      </c>
      <c r="D25" s="29" t="s">
        <v>140</v>
      </c>
      <c r="E25" s="29">
        <v>1</v>
      </c>
      <c r="F25" s="30" t="s">
        <v>504</v>
      </c>
      <c r="G25" s="31">
        <v>0.4</v>
      </c>
      <c r="H25" s="32" t="s">
        <v>135</v>
      </c>
      <c r="I25" s="33"/>
      <c r="J25" s="34"/>
      <c r="K25" s="35"/>
    </row>
    <row r="26" spans="1:11" x14ac:dyDescent="0.35">
      <c r="A26" s="29">
        <v>21</v>
      </c>
      <c r="B26" s="29" t="s">
        <v>428</v>
      </c>
      <c r="C26" s="30" t="s">
        <v>520</v>
      </c>
      <c r="D26" s="29" t="s">
        <v>140</v>
      </c>
      <c r="E26" s="29">
        <v>1</v>
      </c>
      <c r="F26" s="30" t="s">
        <v>508</v>
      </c>
      <c r="G26" s="31">
        <v>0.75</v>
      </c>
      <c r="H26" s="32" t="s">
        <v>135</v>
      </c>
      <c r="I26" s="33"/>
      <c r="J26" s="34"/>
      <c r="K26" s="35"/>
    </row>
    <row r="27" spans="1:11" x14ac:dyDescent="0.35">
      <c r="A27" s="29">
        <v>22</v>
      </c>
      <c r="B27" s="29" t="s">
        <v>428</v>
      </c>
      <c r="C27" s="30" t="s">
        <v>521</v>
      </c>
      <c r="D27" s="29" t="s">
        <v>140</v>
      </c>
      <c r="E27" s="29">
        <v>1</v>
      </c>
      <c r="F27" s="30" t="s">
        <v>508</v>
      </c>
      <c r="G27" s="31">
        <v>0.75</v>
      </c>
      <c r="H27" s="32" t="s">
        <v>135</v>
      </c>
      <c r="I27" s="33"/>
      <c r="J27" s="34"/>
      <c r="K27" s="35"/>
    </row>
    <row r="28" spans="1:11" x14ac:dyDescent="0.35">
      <c r="A28" s="29">
        <v>23</v>
      </c>
      <c r="B28" s="29" t="s">
        <v>428</v>
      </c>
      <c r="C28" s="30" t="s">
        <v>522</v>
      </c>
      <c r="D28" s="29" t="s">
        <v>140</v>
      </c>
      <c r="E28" s="29">
        <v>1</v>
      </c>
      <c r="F28" s="30" t="s">
        <v>508</v>
      </c>
      <c r="G28" s="31">
        <v>0.75</v>
      </c>
      <c r="H28" s="32" t="s">
        <v>135</v>
      </c>
      <c r="I28" s="33"/>
      <c r="J28" s="34"/>
      <c r="K28" s="35"/>
    </row>
    <row r="29" spans="1:11" x14ac:dyDescent="0.35">
      <c r="A29" s="29">
        <v>24</v>
      </c>
      <c r="B29" s="29" t="s">
        <v>428</v>
      </c>
      <c r="C29" s="30" t="s">
        <v>523</v>
      </c>
      <c r="D29" s="29" t="s">
        <v>140</v>
      </c>
      <c r="E29" s="29">
        <v>1</v>
      </c>
      <c r="F29" s="30" t="s">
        <v>516</v>
      </c>
      <c r="G29" s="31">
        <v>1.25</v>
      </c>
      <c r="H29" s="32" t="s">
        <v>135</v>
      </c>
      <c r="I29" s="33"/>
      <c r="J29" s="34"/>
      <c r="K29" s="35"/>
    </row>
    <row r="30" spans="1:11" x14ac:dyDescent="0.35">
      <c r="A30" s="29">
        <v>25</v>
      </c>
      <c r="B30" s="29" t="s">
        <v>428</v>
      </c>
      <c r="C30" s="30" t="s">
        <v>524</v>
      </c>
      <c r="D30" s="29" t="s">
        <v>140</v>
      </c>
      <c r="E30" s="29">
        <v>1</v>
      </c>
      <c r="F30" s="30" t="s">
        <v>508</v>
      </c>
      <c r="G30" s="31">
        <v>0.75</v>
      </c>
      <c r="H30" s="32" t="s">
        <v>135</v>
      </c>
      <c r="I30" s="33"/>
      <c r="J30" s="34"/>
      <c r="K30" s="35"/>
    </row>
    <row r="31" spans="1:11" x14ac:dyDescent="0.35">
      <c r="A31" s="29">
        <v>26</v>
      </c>
      <c r="B31" s="29" t="s">
        <v>432</v>
      </c>
      <c r="C31" s="36" t="s">
        <v>525</v>
      </c>
      <c r="D31" s="29" t="s">
        <v>138</v>
      </c>
      <c r="E31" s="29"/>
      <c r="F31" s="30"/>
      <c r="G31" s="31">
        <v>3.5</v>
      </c>
      <c r="H31" s="32" t="s">
        <v>135</v>
      </c>
      <c r="I31" s="33"/>
      <c r="J31" s="34"/>
      <c r="K31" s="35"/>
    </row>
    <row r="32" spans="1:11" ht="25" x14ac:dyDescent="0.35">
      <c r="A32" s="29">
        <v>27</v>
      </c>
      <c r="B32" s="29" t="s">
        <v>432</v>
      </c>
      <c r="C32" s="30" t="s">
        <v>526</v>
      </c>
      <c r="D32" s="29" t="s">
        <v>140</v>
      </c>
      <c r="E32" s="29">
        <v>5</v>
      </c>
      <c r="F32" s="30" t="s">
        <v>527</v>
      </c>
      <c r="G32" s="31">
        <v>4.5</v>
      </c>
      <c r="H32" s="32" t="s">
        <v>135</v>
      </c>
      <c r="I32" s="33"/>
      <c r="J32" s="34"/>
      <c r="K32" s="35"/>
    </row>
    <row r="33" spans="1:11" x14ac:dyDescent="0.35">
      <c r="A33" s="29">
        <v>28</v>
      </c>
      <c r="B33" s="29" t="s">
        <v>432</v>
      </c>
      <c r="C33" s="30" t="s">
        <v>528</v>
      </c>
      <c r="D33" s="29" t="s">
        <v>140</v>
      </c>
      <c r="E33" s="29">
        <v>1</v>
      </c>
      <c r="F33" s="30" t="s">
        <v>504</v>
      </c>
      <c r="G33" s="31">
        <v>0.4</v>
      </c>
      <c r="H33" s="32" t="s">
        <v>135</v>
      </c>
      <c r="I33" s="33"/>
      <c r="J33" s="34"/>
      <c r="K33" s="35"/>
    </row>
    <row r="34" spans="1:11" x14ac:dyDescent="0.35">
      <c r="A34" s="29">
        <v>29</v>
      </c>
      <c r="B34" s="29" t="s">
        <v>432</v>
      </c>
      <c r="C34" s="30" t="s">
        <v>529</v>
      </c>
      <c r="D34" s="29" t="s">
        <v>140</v>
      </c>
      <c r="E34" s="29">
        <v>1</v>
      </c>
      <c r="F34" s="30" t="s">
        <v>508</v>
      </c>
      <c r="G34" s="31">
        <v>0.75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432</v>
      </c>
      <c r="C35" s="30" t="s">
        <v>530</v>
      </c>
      <c r="D35" s="29" t="s">
        <v>140</v>
      </c>
      <c r="E35" s="29">
        <v>1</v>
      </c>
      <c r="F35" s="30" t="s">
        <v>508</v>
      </c>
      <c r="G35" s="31">
        <v>0.75</v>
      </c>
      <c r="H35" s="32" t="s">
        <v>135</v>
      </c>
      <c r="I35" s="33"/>
      <c r="J35" s="34"/>
      <c r="K35" s="35"/>
    </row>
    <row r="36" spans="1:11" x14ac:dyDescent="0.35">
      <c r="A36" s="29">
        <v>31</v>
      </c>
      <c r="B36" s="29" t="s">
        <v>432</v>
      </c>
      <c r="C36" s="30" t="s">
        <v>531</v>
      </c>
      <c r="D36" s="29" t="s">
        <v>140</v>
      </c>
      <c r="E36" s="29">
        <v>1</v>
      </c>
      <c r="F36" s="30" t="s">
        <v>508</v>
      </c>
      <c r="G36" s="31">
        <v>0.75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432</v>
      </c>
      <c r="C37" s="30" t="s">
        <v>532</v>
      </c>
      <c r="D37" s="29" t="s">
        <v>140</v>
      </c>
      <c r="E37" s="29">
        <v>1</v>
      </c>
      <c r="F37" s="30" t="s">
        <v>508</v>
      </c>
      <c r="G37" s="31">
        <v>0.75</v>
      </c>
      <c r="H37" s="32" t="s">
        <v>135</v>
      </c>
      <c r="I37" s="33"/>
      <c r="J37" s="34"/>
      <c r="K37" s="35"/>
    </row>
    <row r="38" spans="1:11" x14ac:dyDescent="0.35">
      <c r="A38" s="29">
        <v>33</v>
      </c>
      <c r="B38" s="29" t="s">
        <v>432</v>
      </c>
      <c r="C38" s="30" t="s">
        <v>533</v>
      </c>
      <c r="D38" s="29" t="s">
        <v>140</v>
      </c>
      <c r="E38" s="29">
        <v>1</v>
      </c>
      <c r="F38" s="30" t="s">
        <v>504</v>
      </c>
      <c r="G38" s="31">
        <v>0.4</v>
      </c>
      <c r="H38" s="32" t="s">
        <v>135</v>
      </c>
      <c r="I38" s="33"/>
      <c r="J38" s="34"/>
      <c r="K38" s="35"/>
    </row>
    <row r="39" spans="1:11" x14ac:dyDescent="0.35">
      <c r="A39" s="29">
        <v>34</v>
      </c>
      <c r="B39" s="29" t="s">
        <v>432</v>
      </c>
      <c r="C39" s="30" t="s">
        <v>534</v>
      </c>
      <c r="D39" s="29" t="s">
        <v>140</v>
      </c>
      <c r="E39" s="29">
        <v>1</v>
      </c>
      <c r="F39" s="30" t="s">
        <v>508</v>
      </c>
      <c r="G39" s="31">
        <v>0.75</v>
      </c>
      <c r="H39" s="32" t="s">
        <v>135</v>
      </c>
      <c r="I39" s="33"/>
      <c r="J39" s="34"/>
      <c r="K39" s="35"/>
    </row>
    <row r="40" spans="1:11" x14ac:dyDescent="0.35">
      <c r="A40" s="29">
        <v>35</v>
      </c>
      <c r="B40" s="29" t="s">
        <v>432</v>
      </c>
      <c r="C40" s="30" t="s">
        <v>535</v>
      </c>
      <c r="D40" s="29" t="s">
        <v>140</v>
      </c>
      <c r="E40" s="29">
        <v>1</v>
      </c>
      <c r="F40" s="30" t="s">
        <v>508</v>
      </c>
      <c r="G40" s="31">
        <v>0.75</v>
      </c>
      <c r="H40" s="32" t="s">
        <v>135</v>
      </c>
      <c r="I40" s="33"/>
      <c r="J40" s="34"/>
      <c r="K40" s="35"/>
    </row>
    <row r="41" spans="1:11" x14ac:dyDescent="0.35">
      <c r="A41" s="29">
        <v>36</v>
      </c>
      <c r="B41" s="29" t="s">
        <v>432</v>
      </c>
      <c r="C41" s="30" t="s">
        <v>536</v>
      </c>
      <c r="D41" s="29" t="s">
        <v>140</v>
      </c>
      <c r="E41" s="29">
        <v>1</v>
      </c>
      <c r="F41" s="30" t="s">
        <v>516</v>
      </c>
      <c r="G41" s="31">
        <v>1.25</v>
      </c>
      <c r="H41" s="32" t="s">
        <v>135</v>
      </c>
      <c r="I41" s="33"/>
      <c r="J41" s="34"/>
      <c r="K41" s="35"/>
    </row>
    <row r="42" spans="1:11" x14ac:dyDescent="0.35">
      <c r="A42" s="29">
        <v>37</v>
      </c>
      <c r="B42" s="29" t="s">
        <v>432</v>
      </c>
      <c r="C42" s="30" t="s">
        <v>537</v>
      </c>
      <c r="D42" s="29" t="s">
        <v>140</v>
      </c>
      <c r="E42" s="29">
        <v>1</v>
      </c>
      <c r="F42" s="30" t="s">
        <v>516</v>
      </c>
      <c r="G42" s="31">
        <v>1.25</v>
      </c>
      <c r="H42" s="32" t="s">
        <v>135</v>
      </c>
      <c r="I42" s="33"/>
      <c r="J42" s="34"/>
      <c r="K42" s="35"/>
    </row>
    <row r="43" spans="1:11" x14ac:dyDescent="0.35">
      <c r="A43" s="29">
        <v>38</v>
      </c>
      <c r="B43" s="29" t="s">
        <v>432</v>
      </c>
      <c r="C43" s="30" t="s">
        <v>538</v>
      </c>
      <c r="D43" s="29" t="s">
        <v>140</v>
      </c>
      <c r="E43" s="29">
        <v>1</v>
      </c>
      <c r="F43" s="30" t="s">
        <v>508</v>
      </c>
      <c r="G43" s="31">
        <v>0.75</v>
      </c>
      <c r="H43" s="32" t="s">
        <v>135</v>
      </c>
      <c r="I43" s="33"/>
      <c r="J43" s="34"/>
      <c r="K43" s="35"/>
    </row>
    <row r="44" spans="1:11" x14ac:dyDescent="0.35">
      <c r="A44" s="29">
        <v>39</v>
      </c>
      <c r="B44" s="29" t="s">
        <v>432</v>
      </c>
      <c r="C44" s="30" t="s">
        <v>539</v>
      </c>
      <c r="D44" s="29" t="s">
        <v>140</v>
      </c>
      <c r="E44" s="29">
        <v>1</v>
      </c>
      <c r="F44" s="30" t="s">
        <v>508</v>
      </c>
      <c r="G44" s="31">
        <v>0.75</v>
      </c>
      <c r="H44" s="32" t="s">
        <v>135</v>
      </c>
      <c r="I44" s="33"/>
      <c r="J44" s="34"/>
      <c r="K44" s="35"/>
    </row>
    <row r="45" spans="1:11" x14ac:dyDescent="0.35">
      <c r="A45" s="29">
        <v>40</v>
      </c>
      <c r="B45" s="29" t="s">
        <v>432</v>
      </c>
      <c r="C45" s="30" t="s">
        <v>540</v>
      </c>
      <c r="D45" s="29" t="s">
        <v>140</v>
      </c>
      <c r="E45" s="29">
        <v>1</v>
      </c>
      <c r="F45" s="30" t="s">
        <v>508</v>
      </c>
      <c r="G45" s="31">
        <v>0.75</v>
      </c>
      <c r="H45" s="32" t="s">
        <v>135</v>
      </c>
      <c r="I45" s="33"/>
      <c r="J45" s="34"/>
      <c r="K45" s="35"/>
    </row>
    <row r="46" spans="1:11" x14ac:dyDescent="0.35">
      <c r="A46" s="29">
        <v>41</v>
      </c>
      <c r="B46" s="29" t="s">
        <v>436</v>
      </c>
      <c r="C46" s="36" t="s">
        <v>541</v>
      </c>
      <c r="D46" s="29" t="s">
        <v>138</v>
      </c>
      <c r="E46" s="29"/>
      <c r="F46" s="30"/>
      <c r="G46" s="31">
        <v>3</v>
      </c>
      <c r="H46" s="32" t="s">
        <v>135</v>
      </c>
      <c r="I46" s="33"/>
      <c r="J46" s="34"/>
      <c r="K46" s="35"/>
    </row>
    <row r="47" spans="1:11" ht="25" x14ac:dyDescent="0.35">
      <c r="A47" s="29">
        <v>42</v>
      </c>
      <c r="B47" s="29" t="s">
        <v>436</v>
      </c>
      <c r="C47" s="30" t="s">
        <v>542</v>
      </c>
      <c r="D47" s="29" t="s">
        <v>140</v>
      </c>
      <c r="E47" s="29">
        <v>4</v>
      </c>
      <c r="F47" s="30" t="s">
        <v>543</v>
      </c>
      <c r="G47" s="31">
        <v>3.6</v>
      </c>
      <c r="H47" s="32" t="s">
        <v>135</v>
      </c>
      <c r="I47" s="33"/>
      <c r="J47" s="34"/>
      <c r="K47" s="35"/>
    </row>
    <row r="48" spans="1:11" x14ac:dyDescent="0.35">
      <c r="A48" s="29">
        <v>43</v>
      </c>
      <c r="B48" s="29" t="s">
        <v>436</v>
      </c>
      <c r="C48" s="30" t="s">
        <v>544</v>
      </c>
      <c r="D48" s="29" t="s">
        <v>140</v>
      </c>
      <c r="E48" s="29">
        <v>1</v>
      </c>
      <c r="F48" s="30" t="s">
        <v>504</v>
      </c>
      <c r="G48" s="31">
        <v>0.4</v>
      </c>
      <c r="H48" s="32" t="s">
        <v>135</v>
      </c>
      <c r="I48" s="33"/>
      <c r="J48" s="34"/>
      <c r="K48" s="35"/>
    </row>
    <row r="49" spans="1:11" x14ac:dyDescent="0.35">
      <c r="A49" s="29">
        <v>44</v>
      </c>
      <c r="B49" s="29" t="s">
        <v>436</v>
      </c>
      <c r="C49" s="30" t="s">
        <v>545</v>
      </c>
      <c r="D49" s="29" t="s">
        <v>140</v>
      </c>
      <c r="E49" s="29">
        <v>1</v>
      </c>
      <c r="F49" s="30" t="s">
        <v>504</v>
      </c>
      <c r="G49" s="31">
        <v>0.4</v>
      </c>
      <c r="H49" s="32" t="s">
        <v>135</v>
      </c>
      <c r="I49" s="33"/>
      <c r="J49" s="34"/>
      <c r="K49" s="35"/>
    </row>
    <row r="50" spans="1:11" x14ac:dyDescent="0.35">
      <c r="A50" s="29">
        <v>45</v>
      </c>
      <c r="B50" s="29" t="s">
        <v>436</v>
      </c>
      <c r="C50" s="30" t="s">
        <v>546</v>
      </c>
      <c r="D50" s="29" t="s">
        <v>140</v>
      </c>
      <c r="E50" s="29">
        <v>1</v>
      </c>
      <c r="F50" s="30" t="s">
        <v>508</v>
      </c>
      <c r="G50" s="31">
        <v>0.75</v>
      </c>
      <c r="H50" s="32" t="s">
        <v>135</v>
      </c>
      <c r="I50" s="33"/>
      <c r="J50" s="34"/>
      <c r="K50" s="35"/>
    </row>
    <row r="51" spans="1:11" x14ac:dyDescent="0.35">
      <c r="A51" s="29">
        <v>46</v>
      </c>
      <c r="B51" s="29" t="s">
        <v>436</v>
      </c>
      <c r="C51" s="30" t="s">
        <v>547</v>
      </c>
      <c r="D51" s="29" t="s">
        <v>140</v>
      </c>
      <c r="E51" s="29">
        <v>1</v>
      </c>
      <c r="F51" s="30" t="s">
        <v>508</v>
      </c>
      <c r="G51" s="31">
        <v>0.75</v>
      </c>
      <c r="H51" s="32" t="s">
        <v>135</v>
      </c>
      <c r="I51" s="33"/>
      <c r="J51" s="34"/>
      <c r="K51" s="35"/>
    </row>
    <row r="52" spans="1:11" x14ac:dyDescent="0.35">
      <c r="A52" s="29">
        <v>47</v>
      </c>
      <c r="B52" s="29" t="s">
        <v>436</v>
      </c>
      <c r="C52" s="30" t="s">
        <v>548</v>
      </c>
      <c r="D52" s="29" t="s">
        <v>140</v>
      </c>
      <c r="E52" s="29">
        <v>1</v>
      </c>
      <c r="F52" s="30" t="s">
        <v>508</v>
      </c>
      <c r="G52" s="31">
        <v>0.75</v>
      </c>
      <c r="H52" s="32" t="s">
        <v>135</v>
      </c>
      <c r="I52" s="33"/>
      <c r="J52" s="34"/>
      <c r="K52" s="35"/>
    </row>
    <row r="53" spans="1:11" x14ac:dyDescent="0.35">
      <c r="A53" s="29">
        <v>48</v>
      </c>
      <c r="B53" s="29" t="s">
        <v>436</v>
      </c>
      <c r="C53" s="30" t="s">
        <v>549</v>
      </c>
      <c r="D53" s="29" t="s">
        <v>140</v>
      </c>
      <c r="E53" s="29">
        <v>1</v>
      </c>
      <c r="F53" s="30" t="s">
        <v>508</v>
      </c>
      <c r="G53" s="31">
        <v>0.75</v>
      </c>
      <c r="H53" s="32" t="s">
        <v>135</v>
      </c>
      <c r="I53" s="33"/>
      <c r="J53" s="34"/>
      <c r="K53" s="35"/>
    </row>
    <row r="54" spans="1:11" x14ac:dyDescent="0.35">
      <c r="A54" s="29">
        <v>49</v>
      </c>
      <c r="B54" s="29" t="s">
        <v>436</v>
      </c>
      <c r="C54" s="30" t="s">
        <v>550</v>
      </c>
      <c r="D54" s="29" t="s">
        <v>140</v>
      </c>
      <c r="E54" s="29">
        <v>1</v>
      </c>
      <c r="F54" s="30" t="s">
        <v>516</v>
      </c>
      <c r="G54" s="31">
        <v>1.25</v>
      </c>
      <c r="H54" s="32" t="s">
        <v>135</v>
      </c>
      <c r="I54" s="33"/>
      <c r="J54" s="34"/>
      <c r="K54" s="35"/>
    </row>
    <row r="55" spans="1:11" x14ac:dyDescent="0.35">
      <c r="A55" s="29">
        <v>50</v>
      </c>
      <c r="B55" s="29" t="s">
        <v>436</v>
      </c>
      <c r="C55" s="30" t="s">
        <v>551</v>
      </c>
      <c r="D55" s="29" t="s">
        <v>140</v>
      </c>
      <c r="E55" s="29">
        <v>1</v>
      </c>
      <c r="F55" s="30" t="s">
        <v>508</v>
      </c>
      <c r="G55" s="31">
        <v>0.75</v>
      </c>
      <c r="H55" s="32" t="s">
        <v>135</v>
      </c>
      <c r="I55" s="33"/>
      <c r="J55" s="34"/>
      <c r="K55" s="35"/>
    </row>
    <row r="56" spans="1:11" x14ac:dyDescent="0.35">
      <c r="A56" s="29">
        <v>51</v>
      </c>
      <c r="B56" s="29" t="s">
        <v>436</v>
      </c>
      <c r="C56" s="30" t="s">
        <v>552</v>
      </c>
      <c r="D56" s="29" t="s">
        <v>140</v>
      </c>
      <c r="E56" s="29">
        <v>1</v>
      </c>
      <c r="F56" s="30" t="s">
        <v>508</v>
      </c>
      <c r="G56" s="31">
        <v>0.75</v>
      </c>
      <c r="H56" s="32" t="s">
        <v>135</v>
      </c>
      <c r="I56" s="33"/>
      <c r="J56" s="34"/>
      <c r="K56" s="35"/>
    </row>
    <row r="57" spans="1:11" x14ac:dyDescent="0.35">
      <c r="A57" s="29">
        <v>52</v>
      </c>
      <c r="B57" s="29" t="s">
        <v>436</v>
      </c>
      <c r="C57" s="30" t="s">
        <v>553</v>
      </c>
      <c r="D57" s="29" t="s">
        <v>140</v>
      </c>
      <c r="E57" s="29">
        <v>1</v>
      </c>
      <c r="F57" s="30" t="s">
        <v>516</v>
      </c>
      <c r="G57" s="31">
        <v>1.25</v>
      </c>
      <c r="H57" s="32" t="s">
        <v>135</v>
      </c>
      <c r="I57" s="33"/>
      <c r="J57" s="34"/>
      <c r="K57" s="35"/>
    </row>
    <row r="58" spans="1:11" x14ac:dyDescent="0.35">
      <c r="A58" s="29">
        <v>53</v>
      </c>
      <c r="B58" s="29" t="s">
        <v>440</v>
      </c>
      <c r="C58" s="36" t="s">
        <v>554</v>
      </c>
      <c r="D58" s="29" t="s">
        <v>138</v>
      </c>
      <c r="E58" s="29"/>
      <c r="F58" s="30"/>
      <c r="G58" s="31">
        <v>3</v>
      </c>
      <c r="H58" s="32" t="s">
        <v>135</v>
      </c>
      <c r="I58" s="33"/>
      <c r="J58" s="34"/>
      <c r="K58" s="35"/>
    </row>
    <row r="59" spans="1:11" ht="25" x14ac:dyDescent="0.35">
      <c r="A59" s="29">
        <v>54</v>
      </c>
      <c r="B59" s="29" t="s">
        <v>440</v>
      </c>
      <c r="C59" s="30" t="s">
        <v>555</v>
      </c>
      <c r="D59" s="29" t="s">
        <v>140</v>
      </c>
      <c r="E59" s="29">
        <v>3</v>
      </c>
      <c r="F59" s="30" t="s">
        <v>556</v>
      </c>
      <c r="G59" s="31">
        <v>2.7</v>
      </c>
      <c r="H59" s="32" t="s">
        <v>135</v>
      </c>
      <c r="I59" s="33"/>
      <c r="J59" s="34"/>
      <c r="K59" s="35"/>
    </row>
    <row r="60" spans="1:11" x14ac:dyDescent="0.35">
      <c r="A60" s="29">
        <v>55</v>
      </c>
      <c r="B60" s="29" t="s">
        <v>440</v>
      </c>
      <c r="C60" s="30" t="s">
        <v>557</v>
      </c>
      <c r="D60" s="29" t="s">
        <v>140</v>
      </c>
      <c r="E60" s="29">
        <v>1</v>
      </c>
      <c r="F60" s="30" t="s">
        <v>504</v>
      </c>
      <c r="G60" s="31">
        <v>0.4</v>
      </c>
      <c r="H60" s="32" t="s">
        <v>135</v>
      </c>
      <c r="I60" s="33"/>
      <c r="J60" s="34"/>
      <c r="K60" s="35"/>
    </row>
    <row r="61" spans="1:11" x14ac:dyDescent="0.35">
      <c r="A61" s="29">
        <v>56</v>
      </c>
      <c r="B61" s="29" t="s">
        <v>440</v>
      </c>
      <c r="C61" s="30" t="s">
        <v>558</v>
      </c>
      <c r="D61" s="29" t="s">
        <v>140</v>
      </c>
      <c r="E61" s="29">
        <v>1</v>
      </c>
      <c r="F61" s="30" t="s">
        <v>508</v>
      </c>
      <c r="G61" s="31">
        <v>0.75</v>
      </c>
      <c r="H61" s="32" t="s">
        <v>135</v>
      </c>
      <c r="I61" s="33"/>
      <c r="J61" s="34"/>
      <c r="K61" s="35"/>
    </row>
    <row r="62" spans="1:11" x14ac:dyDescent="0.35">
      <c r="A62" s="29">
        <v>57</v>
      </c>
      <c r="B62" s="29" t="s">
        <v>440</v>
      </c>
      <c r="C62" s="30" t="s">
        <v>559</v>
      </c>
      <c r="D62" s="29" t="s">
        <v>140</v>
      </c>
      <c r="E62" s="29">
        <v>1</v>
      </c>
      <c r="F62" s="30" t="s">
        <v>504</v>
      </c>
      <c r="G62" s="31">
        <v>0.4</v>
      </c>
      <c r="H62" s="32" t="s">
        <v>135</v>
      </c>
      <c r="I62" s="33"/>
      <c r="J62" s="34"/>
      <c r="K62" s="35"/>
    </row>
    <row r="63" spans="1:11" x14ac:dyDescent="0.35">
      <c r="A63" s="29">
        <v>58</v>
      </c>
      <c r="B63" s="29" t="s">
        <v>440</v>
      </c>
      <c r="C63" s="30" t="s">
        <v>560</v>
      </c>
      <c r="D63" s="29" t="s">
        <v>140</v>
      </c>
      <c r="E63" s="29">
        <v>1</v>
      </c>
      <c r="F63" s="30" t="s">
        <v>504</v>
      </c>
      <c r="G63" s="31">
        <v>0.4</v>
      </c>
      <c r="H63" s="32" t="s">
        <v>135</v>
      </c>
      <c r="I63" s="33"/>
      <c r="J63" s="34"/>
      <c r="K63" s="35"/>
    </row>
    <row r="64" spans="1:11" x14ac:dyDescent="0.35">
      <c r="A64" s="29">
        <v>59</v>
      </c>
      <c r="B64" s="29" t="s">
        <v>440</v>
      </c>
      <c r="C64" s="30" t="s">
        <v>561</v>
      </c>
      <c r="D64" s="29" t="s">
        <v>140</v>
      </c>
      <c r="E64" s="29">
        <v>1</v>
      </c>
      <c r="F64" s="30" t="s">
        <v>508</v>
      </c>
      <c r="G64" s="31">
        <v>0.75</v>
      </c>
      <c r="H64" s="32" t="s">
        <v>135</v>
      </c>
      <c r="I64" s="33"/>
      <c r="J64" s="34"/>
      <c r="K64" s="35"/>
    </row>
    <row r="65" spans="1:11" ht="25" x14ac:dyDescent="0.35">
      <c r="A65" s="29">
        <v>60</v>
      </c>
      <c r="B65" s="29" t="s">
        <v>440</v>
      </c>
      <c r="C65" s="30" t="s">
        <v>562</v>
      </c>
      <c r="D65" s="29" t="s">
        <v>140</v>
      </c>
      <c r="E65" s="29">
        <v>1</v>
      </c>
      <c r="F65" s="30" t="s">
        <v>508</v>
      </c>
      <c r="G65" s="31">
        <v>0.75</v>
      </c>
      <c r="H65" s="32" t="s">
        <v>135</v>
      </c>
      <c r="I65" s="33"/>
      <c r="J65" s="34"/>
      <c r="K65" s="35"/>
    </row>
    <row r="66" spans="1:11" x14ac:dyDescent="0.35">
      <c r="A66" s="29">
        <v>61</v>
      </c>
      <c r="B66" s="29" t="s">
        <v>440</v>
      </c>
      <c r="C66" s="30" t="s">
        <v>563</v>
      </c>
      <c r="D66" s="29" t="s">
        <v>140</v>
      </c>
      <c r="E66" s="29">
        <v>1</v>
      </c>
      <c r="F66" s="30" t="s">
        <v>508</v>
      </c>
      <c r="G66" s="31">
        <v>0.75</v>
      </c>
      <c r="H66" s="32" t="s">
        <v>135</v>
      </c>
      <c r="I66" s="33"/>
      <c r="J66" s="34"/>
      <c r="K66" s="35"/>
    </row>
    <row r="67" spans="1:11" x14ac:dyDescent="0.35">
      <c r="A67" s="29">
        <v>62</v>
      </c>
      <c r="B67" s="29" t="s">
        <v>440</v>
      </c>
      <c r="C67" s="30" t="s">
        <v>564</v>
      </c>
      <c r="D67" s="29" t="s">
        <v>140</v>
      </c>
      <c r="E67" s="29">
        <v>1</v>
      </c>
      <c r="F67" s="30" t="s">
        <v>508</v>
      </c>
      <c r="G67" s="31">
        <v>0.75</v>
      </c>
      <c r="H67" s="32" t="s">
        <v>135</v>
      </c>
      <c r="I67" s="33"/>
      <c r="J67" s="34"/>
      <c r="K67" s="35"/>
    </row>
    <row r="68" spans="1:11" x14ac:dyDescent="0.35">
      <c r="A68" s="29">
        <v>63</v>
      </c>
      <c r="B68" s="29" t="s">
        <v>440</v>
      </c>
      <c r="C68" s="30" t="s">
        <v>565</v>
      </c>
      <c r="D68" s="29" t="s">
        <v>140</v>
      </c>
      <c r="E68" s="29">
        <v>1</v>
      </c>
      <c r="F68" s="30" t="s">
        <v>508</v>
      </c>
      <c r="G68" s="31">
        <v>0.75</v>
      </c>
      <c r="H68" s="32" t="s">
        <v>135</v>
      </c>
      <c r="I68" s="33"/>
      <c r="J68" s="34"/>
      <c r="K68" s="35"/>
    </row>
    <row r="69" spans="1:11" ht="25" x14ac:dyDescent="0.35">
      <c r="A69" s="29">
        <v>64</v>
      </c>
      <c r="B69" s="29" t="s">
        <v>440</v>
      </c>
      <c r="C69" s="30" t="s">
        <v>566</v>
      </c>
      <c r="D69" s="29" t="s">
        <v>140</v>
      </c>
      <c r="E69" s="29">
        <v>1</v>
      </c>
      <c r="F69" s="30" t="s">
        <v>504</v>
      </c>
      <c r="G69" s="31">
        <v>0.4</v>
      </c>
      <c r="H69" s="32" t="s">
        <v>135</v>
      </c>
      <c r="I69" s="33"/>
      <c r="J69" s="34"/>
      <c r="K69" s="35"/>
    </row>
    <row r="70" spans="1:11" x14ac:dyDescent="0.35">
      <c r="A70" s="29">
        <v>65</v>
      </c>
      <c r="B70" s="29" t="s">
        <v>444</v>
      </c>
      <c r="C70" s="36" t="s">
        <v>567</v>
      </c>
      <c r="D70" s="29" t="s">
        <v>138</v>
      </c>
      <c r="E70" s="29"/>
      <c r="F70" s="30"/>
      <c r="G70" s="31">
        <v>4</v>
      </c>
      <c r="H70" s="32" t="s">
        <v>135</v>
      </c>
      <c r="I70" s="33"/>
      <c r="J70" s="34"/>
      <c r="K70" s="35"/>
    </row>
    <row r="71" spans="1:11" ht="25" x14ac:dyDescent="0.35">
      <c r="A71" s="29">
        <v>66</v>
      </c>
      <c r="B71" s="29" t="s">
        <v>444</v>
      </c>
      <c r="C71" s="30" t="s">
        <v>568</v>
      </c>
      <c r="D71" s="29" t="s">
        <v>140</v>
      </c>
      <c r="E71" s="29">
        <v>5</v>
      </c>
      <c r="F71" s="30" t="s">
        <v>569</v>
      </c>
      <c r="G71" s="31">
        <v>4.5</v>
      </c>
      <c r="H71" s="32" t="s">
        <v>135</v>
      </c>
      <c r="I71" s="33"/>
      <c r="J71" s="34"/>
      <c r="K71" s="35"/>
    </row>
    <row r="72" spans="1:11" x14ac:dyDescent="0.35">
      <c r="A72" s="29">
        <v>67</v>
      </c>
      <c r="B72" s="29" t="s">
        <v>444</v>
      </c>
      <c r="C72" s="30" t="s">
        <v>570</v>
      </c>
      <c r="D72" s="29" t="s">
        <v>140</v>
      </c>
      <c r="E72" s="29">
        <v>1</v>
      </c>
      <c r="F72" s="30" t="s">
        <v>508</v>
      </c>
      <c r="G72" s="31">
        <v>0.75</v>
      </c>
      <c r="H72" s="32" t="s">
        <v>135</v>
      </c>
      <c r="I72" s="33"/>
      <c r="J72" s="34"/>
      <c r="K72" s="35"/>
    </row>
    <row r="73" spans="1:11" x14ac:dyDescent="0.35">
      <c r="A73" s="29">
        <v>68</v>
      </c>
      <c r="B73" s="29" t="s">
        <v>444</v>
      </c>
      <c r="C73" s="30" t="s">
        <v>571</v>
      </c>
      <c r="D73" s="29" t="s">
        <v>140</v>
      </c>
      <c r="E73" s="29">
        <v>1</v>
      </c>
      <c r="F73" s="30" t="s">
        <v>508</v>
      </c>
      <c r="G73" s="31">
        <v>0.75</v>
      </c>
      <c r="H73" s="32" t="s">
        <v>135</v>
      </c>
      <c r="I73" s="33"/>
      <c r="J73" s="34"/>
      <c r="K73" s="35"/>
    </row>
    <row r="74" spans="1:11" x14ac:dyDescent="0.35">
      <c r="A74" s="29">
        <v>69</v>
      </c>
      <c r="B74" s="29" t="s">
        <v>444</v>
      </c>
      <c r="C74" s="30" t="s">
        <v>572</v>
      </c>
      <c r="D74" s="29" t="s">
        <v>140</v>
      </c>
      <c r="E74" s="29">
        <v>1</v>
      </c>
      <c r="F74" s="30" t="s">
        <v>508</v>
      </c>
      <c r="G74" s="31">
        <v>0.75</v>
      </c>
      <c r="H74" s="32" t="s">
        <v>135</v>
      </c>
      <c r="I74" s="33"/>
      <c r="J74" s="34"/>
      <c r="K74" s="35"/>
    </row>
    <row r="75" spans="1:11" x14ac:dyDescent="0.35">
      <c r="A75" s="29">
        <v>70</v>
      </c>
      <c r="B75" s="29" t="s">
        <v>444</v>
      </c>
      <c r="C75" s="30" t="s">
        <v>573</v>
      </c>
      <c r="D75" s="29" t="s">
        <v>140</v>
      </c>
      <c r="E75" s="29">
        <v>1</v>
      </c>
      <c r="F75" s="30" t="s">
        <v>508</v>
      </c>
      <c r="G75" s="31">
        <v>0.75</v>
      </c>
      <c r="H75" s="32" t="s">
        <v>135</v>
      </c>
      <c r="I75" s="33"/>
      <c r="J75" s="34"/>
      <c r="K75" s="35"/>
    </row>
    <row r="76" spans="1:11" x14ac:dyDescent="0.35">
      <c r="A76" s="29">
        <v>71</v>
      </c>
      <c r="B76" s="29" t="s">
        <v>444</v>
      </c>
      <c r="C76" s="30" t="s">
        <v>574</v>
      </c>
      <c r="D76" s="29" t="s">
        <v>140</v>
      </c>
      <c r="E76" s="29">
        <v>1</v>
      </c>
      <c r="F76" s="30" t="s">
        <v>508</v>
      </c>
      <c r="G76" s="31">
        <v>0.75</v>
      </c>
      <c r="H76" s="32" t="s">
        <v>135</v>
      </c>
      <c r="I76" s="33"/>
      <c r="J76" s="34"/>
      <c r="K76" s="35"/>
    </row>
    <row r="77" spans="1:11" x14ac:dyDescent="0.35">
      <c r="A77" s="29">
        <v>72</v>
      </c>
      <c r="B77" s="29" t="s">
        <v>444</v>
      </c>
      <c r="C77" s="30" t="s">
        <v>575</v>
      </c>
      <c r="D77" s="29" t="s">
        <v>140</v>
      </c>
      <c r="E77" s="29">
        <v>1</v>
      </c>
      <c r="F77" s="30" t="s">
        <v>508</v>
      </c>
      <c r="G77" s="31">
        <v>0.75</v>
      </c>
      <c r="H77" s="32" t="s">
        <v>135</v>
      </c>
      <c r="I77" s="33"/>
      <c r="J77" s="34"/>
      <c r="K77" s="35"/>
    </row>
    <row r="78" spans="1:11" x14ac:dyDescent="0.35">
      <c r="A78" s="29">
        <v>73</v>
      </c>
      <c r="B78" s="29" t="s">
        <v>444</v>
      </c>
      <c r="C78" s="30" t="s">
        <v>576</v>
      </c>
      <c r="D78" s="29" t="s">
        <v>140</v>
      </c>
      <c r="E78" s="29">
        <v>1</v>
      </c>
      <c r="F78" s="30" t="s">
        <v>508</v>
      </c>
      <c r="G78" s="31">
        <v>0.75</v>
      </c>
      <c r="H78" s="32" t="s">
        <v>135</v>
      </c>
      <c r="I78" s="33"/>
      <c r="J78" s="34"/>
      <c r="K78" s="35"/>
    </row>
    <row r="79" spans="1:11" x14ac:dyDescent="0.35">
      <c r="A79" s="29">
        <v>74</v>
      </c>
      <c r="B79" s="29" t="s">
        <v>444</v>
      </c>
      <c r="C79" s="30" t="s">
        <v>577</v>
      </c>
      <c r="D79" s="29" t="s">
        <v>140</v>
      </c>
      <c r="E79" s="29">
        <v>1</v>
      </c>
      <c r="F79" s="30" t="s">
        <v>508</v>
      </c>
      <c r="G79" s="31">
        <v>0.75</v>
      </c>
      <c r="H79" s="32" t="s">
        <v>135</v>
      </c>
      <c r="I79" s="33"/>
      <c r="J79" s="34"/>
      <c r="K79" s="35"/>
    </row>
    <row r="80" spans="1:11" x14ac:dyDescent="0.35">
      <c r="A80" s="29">
        <v>75</v>
      </c>
      <c r="B80" s="29" t="s">
        <v>444</v>
      </c>
      <c r="C80" s="30" t="s">
        <v>578</v>
      </c>
      <c r="D80" s="29" t="s">
        <v>140</v>
      </c>
      <c r="E80" s="29">
        <v>1</v>
      </c>
      <c r="F80" s="30" t="s">
        <v>508</v>
      </c>
      <c r="G80" s="31">
        <v>0.75</v>
      </c>
      <c r="H80" s="32" t="s">
        <v>135</v>
      </c>
      <c r="I80" s="33"/>
      <c r="J80" s="34"/>
      <c r="K80" s="35"/>
    </row>
    <row r="81" spans="1:11" x14ac:dyDescent="0.35">
      <c r="A81" s="29">
        <v>76</v>
      </c>
      <c r="B81" s="29" t="s">
        <v>444</v>
      </c>
      <c r="C81" s="30" t="s">
        <v>579</v>
      </c>
      <c r="D81" s="29" t="s">
        <v>140</v>
      </c>
      <c r="E81" s="29">
        <v>1</v>
      </c>
      <c r="F81" s="30" t="s">
        <v>516</v>
      </c>
      <c r="G81" s="31">
        <v>1.25</v>
      </c>
      <c r="H81" s="32" t="s">
        <v>135</v>
      </c>
      <c r="I81" s="33"/>
      <c r="J81" s="34"/>
      <c r="K81" s="35"/>
    </row>
    <row r="82" spans="1:11" x14ac:dyDescent="0.35">
      <c r="A82" s="29">
        <v>77</v>
      </c>
      <c r="B82" s="29" t="s">
        <v>444</v>
      </c>
      <c r="C82" s="30" t="s">
        <v>580</v>
      </c>
      <c r="D82" s="29" t="s">
        <v>140</v>
      </c>
      <c r="E82" s="29">
        <v>1</v>
      </c>
      <c r="F82" s="30" t="s">
        <v>508</v>
      </c>
      <c r="G82" s="31">
        <v>0.75</v>
      </c>
      <c r="H82" s="32" t="s">
        <v>135</v>
      </c>
      <c r="I82" s="33"/>
      <c r="J82" s="34"/>
      <c r="K82" s="35"/>
    </row>
    <row r="83" spans="1:11" x14ac:dyDescent="0.35">
      <c r="A83" s="29">
        <v>78</v>
      </c>
      <c r="B83" s="29" t="s">
        <v>444</v>
      </c>
      <c r="C83" s="30" t="s">
        <v>581</v>
      </c>
      <c r="D83" s="29" t="s">
        <v>140</v>
      </c>
      <c r="E83" s="29">
        <v>1</v>
      </c>
      <c r="F83" s="30" t="s">
        <v>508</v>
      </c>
      <c r="G83" s="31">
        <v>0.75</v>
      </c>
      <c r="H83" s="32" t="s">
        <v>135</v>
      </c>
      <c r="I83" s="33"/>
      <c r="J83" s="34"/>
      <c r="K83" s="35"/>
    </row>
    <row r="84" spans="1:11" x14ac:dyDescent="0.35">
      <c r="A84" s="29">
        <v>79</v>
      </c>
      <c r="B84" s="29" t="s">
        <v>444</v>
      </c>
      <c r="C84" s="30" t="s">
        <v>582</v>
      </c>
      <c r="D84" s="29" t="s">
        <v>140</v>
      </c>
      <c r="E84" s="29">
        <v>1</v>
      </c>
      <c r="F84" s="30" t="s">
        <v>508</v>
      </c>
      <c r="G84" s="31">
        <v>0.75</v>
      </c>
      <c r="H84" s="32" t="s">
        <v>135</v>
      </c>
      <c r="I84" s="33"/>
      <c r="J84" s="34"/>
      <c r="K84" s="35"/>
    </row>
    <row r="85" spans="1:11" x14ac:dyDescent="0.35">
      <c r="A85" s="29">
        <v>80</v>
      </c>
      <c r="B85" s="29" t="s">
        <v>444</v>
      </c>
      <c r="C85" s="30" t="s">
        <v>583</v>
      </c>
      <c r="D85" s="29" t="s">
        <v>140</v>
      </c>
      <c r="E85" s="29">
        <v>1</v>
      </c>
      <c r="F85" s="30" t="s">
        <v>516</v>
      </c>
      <c r="G85" s="31">
        <v>1.25</v>
      </c>
      <c r="H85" s="32" t="s">
        <v>135</v>
      </c>
      <c r="I85" s="33"/>
      <c r="J85" s="34"/>
      <c r="K85" s="35"/>
    </row>
    <row r="86" spans="1:11" x14ac:dyDescent="0.35">
      <c r="A86" s="29">
        <v>81</v>
      </c>
      <c r="B86" s="29" t="s">
        <v>448</v>
      </c>
      <c r="C86" s="36" t="s">
        <v>584</v>
      </c>
      <c r="D86" s="29" t="s">
        <v>138</v>
      </c>
      <c r="E86" s="29"/>
      <c r="F86" s="30"/>
      <c r="G86" s="31">
        <v>4</v>
      </c>
      <c r="H86" s="32" t="s">
        <v>135</v>
      </c>
      <c r="I86" s="33"/>
      <c r="J86" s="34"/>
      <c r="K86" s="35"/>
    </row>
    <row r="87" spans="1:11" ht="25" x14ac:dyDescent="0.35">
      <c r="A87" s="29">
        <v>82</v>
      </c>
      <c r="B87" s="29" t="s">
        <v>448</v>
      </c>
      <c r="C87" s="30" t="s">
        <v>585</v>
      </c>
      <c r="D87" s="29" t="s">
        <v>140</v>
      </c>
      <c r="E87" s="29">
        <v>5</v>
      </c>
      <c r="F87" s="30" t="s">
        <v>586</v>
      </c>
      <c r="G87" s="31">
        <v>4.5</v>
      </c>
      <c r="H87" s="32" t="s">
        <v>135</v>
      </c>
      <c r="I87" s="33"/>
      <c r="J87" s="34"/>
      <c r="K87" s="35"/>
    </row>
    <row r="88" spans="1:11" x14ac:dyDescent="0.35">
      <c r="A88" s="29">
        <v>83</v>
      </c>
      <c r="B88" s="29" t="s">
        <v>448</v>
      </c>
      <c r="C88" s="30" t="s">
        <v>587</v>
      </c>
      <c r="D88" s="29" t="s">
        <v>140</v>
      </c>
      <c r="E88" s="29">
        <v>1</v>
      </c>
      <c r="F88" s="30" t="s">
        <v>508</v>
      </c>
      <c r="G88" s="31">
        <v>0.75</v>
      </c>
      <c r="H88" s="32" t="s">
        <v>135</v>
      </c>
      <c r="I88" s="33"/>
      <c r="J88" s="34"/>
      <c r="K88" s="35"/>
    </row>
    <row r="89" spans="1:11" x14ac:dyDescent="0.35">
      <c r="A89" s="29">
        <v>84</v>
      </c>
      <c r="B89" s="29" t="s">
        <v>448</v>
      </c>
      <c r="C89" s="30" t="s">
        <v>588</v>
      </c>
      <c r="D89" s="29" t="s">
        <v>140</v>
      </c>
      <c r="E89" s="29">
        <v>1</v>
      </c>
      <c r="F89" s="30" t="s">
        <v>508</v>
      </c>
      <c r="G89" s="31">
        <v>0.75</v>
      </c>
      <c r="H89" s="32" t="s">
        <v>135</v>
      </c>
      <c r="I89" s="33"/>
      <c r="J89" s="34"/>
      <c r="K89" s="35"/>
    </row>
    <row r="90" spans="1:11" x14ac:dyDescent="0.35">
      <c r="A90" s="29">
        <v>85</v>
      </c>
      <c r="B90" s="29" t="s">
        <v>448</v>
      </c>
      <c r="C90" s="30" t="s">
        <v>589</v>
      </c>
      <c r="D90" s="29" t="s">
        <v>140</v>
      </c>
      <c r="E90" s="29">
        <v>1</v>
      </c>
      <c r="F90" s="30" t="s">
        <v>508</v>
      </c>
      <c r="G90" s="31">
        <v>0.75</v>
      </c>
      <c r="H90" s="32" t="s">
        <v>135</v>
      </c>
      <c r="I90" s="33"/>
      <c r="J90" s="34"/>
      <c r="K90" s="35"/>
    </row>
    <row r="91" spans="1:11" x14ac:dyDescent="0.35">
      <c r="A91" s="29">
        <v>86</v>
      </c>
      <c r="B91" s="29" t="s">
        <v>448</v>
      </c>
      <c r="C91" s="30" t="s">
        <v>590</v>
      </c>
      <c r="D91" s="29" t="s">
        <v>140</v>
      </c>
      <c r="E91" s="29">
        <v>1</v>
      </c>
      <c r="F91" s="30" t="s">
        <v>508</v>
      </c>
      <c r="G91" s="31">
        <v>0.75</v>
      </c>
      <c r="H91" s="32" t="s">
        <v>135</v>
      </c>
      <c r="I91" s="33"/>
      <c r="J91" s="34"/>
      <c r="K91" s="35"/>
    </row>
    <row r="92" spans="1:11" x14ac:dyDescent="0.35">
      <c r="A92" s="29">
        <v>87</v>
      </c>
      <c r="B92" s="29" t="s">
        <v>448</v>
      </c>
      <c r="C92" s="30" t="s">
        <v>591</v>
      </c>
      <c r="D92" s="29" t="s">
        <v>140</v>
      </c>
      <c r="E92" s="29">
        <v>1</v>
      </c>
      <c r="F92" s="30" t="s">
        <v>508</v>
      </c>
      <c r="G92" s="31">
        <v>0.75</v>
      </c>
      <c r="H92" s="32" t="s">
        <v>135</v>
      </c>
      <c r="I92" s="33"/>
      <c r="J92" s="34"/>
      <c r="K92" s="35"/>
    </row>
    <row r="93" spans="1:11" x14ac:dyDescent="0.35">
      <c r="A93" s="29">
        <v>88</v>
      </c>
      <c r="B93" s="29" t="s">
        <v>448</v>
      </c>
      <c r="C93" s="30" t="s">
        <v>592</v>
      </c>
      <c r="D93" s="29" t="s">
        <v>140</v>
      </c>
      <c r="E93" s="29">
        <v>1</v>
      </c>
      <c r="F93" s="30" t="s">
        <v>516</v>
      </c>
      <c r="G93" s="31">
        <v>1.25</v>
      </c>
      <c r="H93" s="32" t="s">
        <v>135</v>
      </c>
      <c r="I93" s="33"/>
      <c r="J93" s="34"/>
      <c r="K93" s="35"/>
    </row>
    <row r="94" spans="1:11" ht="25" x14ac:dyDescent="0.35">
      <c r="A94" s="29">
        <v>89</v>
      </c>
      <c r="B94" s="29" t="s">
        <v>448</v>
      </c>
      <c r="C94" s="30" t="s">
        <v>593</v>
      </c>
      <c r="D94" s="29" t="s">
        <v>140</v>
      </c>
      <c r="E94" s="29">
        <v>1</v>
      </c>
      <c r="F94" s="30" t="s">
        <v>508</v>
      </c>
      <c r="G94" s="31">
        <v>0.75</v>
      </c>
      <c r="H94" s="32" t="s">
        <v>135</v>
      </c>
      <c r="I94" s="33"/>
      <c r="J94" s="34"/>
      <c r="K94" s="35"/>
    </row>
    <row r="95" spans="1:11" x14ac:dyDescent="0.35">
      <c r="A95" s="29">
        <v>90</v>
      </c>
      <c r="B95" s="29" t="s">
        <v>448</v>
      </c>
      <c r="C95" s="30" t="s">
        <v>594</v>
      </c>
      <c r="D95" s="29" t="s">
        <v>140</v>
      </c>
      <c r="E95" s="29">
        <v>1</v>
      </c>
      <c r="F95" s="30" t="s">
        <v>516</v>
      </c>
      <c r="G95" s="31">
        <v>1.25</v>
      </c>
      <c r="H95" s="32" t="s">
        <v>135</v>
      </c>
      <c r="I95" s="33"/>
      <c r="J95" s="34"/>
      <c r="K95" s="35"/>
    </row>
    <row r="96" spans="1:11" x14ac:dyDescent="0.35">
      <c r="A96" s="29">
        <v>91</v>
      </c>
      <c r="B96" s="29" t="s">
        <v>452</v>
      </c>
      <c r="C96" s="36" t="s">
        <v>595</v>
      </c>
      <c r="D96" s="29" t="s">
        <v>138</v>
      </c>
      <c r="E96" s="29"/>
      <c r="F96" s="30"/>
      <c r="G96" s="31">
        <v>3</v>
      </c>
      <c r="H96" s="32" t="s">
        <v>135</v>
      </c>
      <c r="I96" s="33"/>
      <c r="J96" s="34"/>
      <c r="K96" s="35"/>
    </row>
    <row r="97" spans="1:11" ht="25" x14ac:dyDescent="0.35">
      <c r="A97" s="29">
        <v>92</v>
      </c>
      <c r="B97" s="29" t="s">
        <v>452</v>
      </c>
      <c r="C97" s="30" t="s">
        <v>596</v>
      </c>
      <c r="D97" s="29" t="s">
        <v>140</v>
      </c>
      <c r="E97" s="29">
        <v>3</v>
      </c>
      <c r="F97" s="30" t="s">
        <v>597</v>
      </c>
      <c r="G97" s="31">
        <v>2.7</v>
      </c>
      <c r="H97" s="32" t="s">
        <v>135</v>
      </c>
      <c r="I97" s="33"/>
      <c r="J97" s="34"/>
      <c r="K97" s="35"/>
    </row>
    <row r="98" spans="1:11" x14ac:dyDescent="0.35">
      <c r="A98" s="29">
        <v>93</v>
      </c>
      <c r="B98" s="29" t="s">
        <v>452</v>
      </c>
      <c r="C98" s="30" t="s">
        <v>598</v>
      </c>
      <c r="D98" s="29" t="s">
        <v>140</v>
      </c>
      <c r="E98" s="29">
        <v>1</v>
      </c>
      <c r="F98" s="30" t="s">
        <v>508</v>
      </c>
      <c r="G98" s="31">
        <v>0.75</v>
      </c>
      <c r="H98" s="32" t="s">
        <v>135</v>
      </c>
      <c r="I98" s="33"/>
      <c r="J98" s="34"/>
      <c r="K98" s="35"/>
    </row>
    <row r="99" spans="1:11" x14ac:dyDescent="0.35">
      <c r="A99" s="29">
        <v>94</v>
      </c>
      <c r="B99" s="29" t="s">
        <v>452</v>
      </c>
      <c r="C99" s="30" t="s">
        <v>599</v>
      </c>
      <c r="D99" s="29" t="s">
        <v>140</v>
      </c>
      <c r="E99" s="29">
        <v>1</v>
      </c>
      <c r="F99" s="30" t="s">
        <v>508</v>
      </c>
      <c r="G99" s="31">
        <v>0.75</v>
      </c>
      <c r="H99" s="32" t="s">
        <v>135</v>
      </c>
      <c r="I99" s="33"/>
      <c r="J99" s="34"/>
      <c r="K99" s="35"/>
    </row>
    <row r="100" spans="1:11" x14ac:dyDescent="0.35">
      <c r="A100" s="29">
        <v>95</v>
      </c>
      <c r="B100" s="29" t="s">
        <v>452</v>
      </c>
      <c r="C100" s="30" t="s">
        <v>600</v>
      </c>
      <c r="D100" s="29" t="s">
        <v>140</v>
      </c>
      <c r="E100" s="29">
        <v>1</v>
      </c>
      <c r="F100" s="30" t="s">
        <v>508</v>
      </c>
      <c r="G100" s="31">
        <v>0.75</v>
      </c>
      <c r="H100" s="32" t="s">
        <v>135</v>
      </c>
      <c r="I100" s="33"/>
      <c r="J100" s="34"/>
      <c r="K100" s="35"/>
    </row>
    <row r="101" spans="1:11" x14ac:dyDescent="0.35">
      <c r="A101" s="29">
        <v>96</v>
      </c>
      <c r="B101" s="29" t="s">
        <v>452</v>
      </c>
      <c r="C101" s="30" t="s">
        <v>601</v>
      </c>
      <c r="D101" s="29" t="s">
        <v>140</v>
      </c>
      <c r="E101" s="29">
        <v>1</v>
      </c>
      <c r="F101" s="30" t="s">
        <v>508</v>
      </c>
      <c r="G101" s="31">
        <v>0.75</v>
      </c>
      <c r="H101" s="32" t="s">
        <v>135</v>
      </c>
      <c r="I101" s="33"/>
      <c r="J101" s="34"/>
      <c r="K101" s="35"/>
    </row>
    <row r="102" spans="1:11" x14ac:dyDescent="0.35">
      <c r="A102" s="29">
        <v>97</v>
      </c>
      <c r="B102" s="29" t="s">
        <v>452</v>
      </c>
      <c r="C102" s="30" t="s">
        <v>602</v>
      </c>
      <c r="D102" s="29" t="s">
        <v>140</v>
      </c>
      <c r="E102" s="29">
        <v>1</v>
      </c>
      <c r="F102" s="30" t="s">
        <v>508</v>
      </c>
      <c r="G102" s="31">
        <v>0.75</v>
      </c>
      <c r="H102" s="32" t="s">
        <v>135</v>
      </c>
      <c r="I102" s="33"/>
      <c r="J102" s="34"/>
      <c r="K102" s="35"/>
    </row>
    <row r="103" spans="1:11" x14ac:dyDescent="0.35">
      <c r="A103" s="29">
        <v>98</v>
      </c>
      <c r="B103" s="29" t="s">
        <v>452</v>
      </c>
      <c r="C103" s="30" t="s">
        <v>603</v>
      </c>
      <c r="D103" s="29" t="s">
        <v>140</v>
      </c>
      <c r="E103" s="29">
        <v>1</v>
      </c>
      <c r="F103" s="30" t="s">
        <v>508</v>
      </c>
      <c r="G103" s="31">
        <v>0.75</v>
      </c>
      <c r="H103" s="32" t="s">
        <v>135</v>
      </c>
      <c r="I103" s="33"/>
      <c r="J103" s="34"/>
      <c r="K103" s="35"/>
    </row>
    <row r="104" spans="1:11" x14ac:dyDescent="0.35">
      <c r="A104" s="29">
        <v>99</v>
      </c>
      <c r="B104" s="29" t="s">
        <v>452</v>
      </c>
      <c r="C104" s="30" t="s">
        <v>604</v>
      </c>
      <c r="D104" s="29" t="s">
        <v>140</v>
      </c>
      <c r="E104" s="29">
        <v>1</v>
      </c>
      <c r="F104" s="30" t="s">
        <v>508</v>
      </c>
      <c r="G104" s="31">
        <v>0.75</v>
      </c>
      <c r="H104" s="32" t="s">
        <v>135</v>
      </c>
      <c r="I104" s="33"/>
      <c r="J104" s="34"/>
      <c r="K104" s="35"/>
    </row>
    <row r="105" spans="1:11" x14ac:dyDescent="0.35">
      <c r="A105" s="29">
        <v>100</v>
      </c>
      <c r="B105" s="29" t="s">
        <v>452</v>
      </c>
      <c r="C105" s="30" t="s">
        <v>605</v>
      </c>
      <c r="D105" s="29" t="s">
        <v>140</v>
      </c>
      <c r="E105" s="29">
        <v>1</v>
      </c>
      <c r="F105" s="30" t="s">
        <v>516</v>
      </c>
      <c r="G105" s="31">
        <v>1.25</v>
      </c>
      <c r="H105" s="32" t="s">
        <v>135</v>
      </c>
      <c r="I105" s="33"/>
      <c r="J105" s="34"/>
      <c r="K105" s="35"/>
    </row>
    <row r="106" spans="1:11" x14ac:dyDescent="0.35">
      <c r="A106" s="29">
        <v>101</v>
      </c>
      <c r="B106" s="29" t="s">
        <v>452</v>
      </c>
      <c r="C106" s="30" t="s">
        <v>606</v>
      </c>
      <c r="D106" s="29" t="s">
        <v>140</v>
      </c>
      <c r="E106" s="29">
        <v>1</v>
      </c>
      <c r="F106" s="30" t="s">
        <v>516</v>
      </c>
      <c r="G106" s="31">
        <v>1.25</v>
      </c>
      <c r="H106" s="32" t="s">
        <v>135</v>
      </c>
      <c r="I106" s="33"/>
      <c r="J106" s="34"/>
      <c r="K106" s="35"/>
    </row>
    <row r="107" spans="1:11" x14ac:dyDescent="0.35">
      <c r="A107" s="29">
        <v>102</v>
      </c>
      <c r="B107" s="29" t="s">
        <v>456</v>
      </c>
      <c r="C107" s="36" t="s">
        <v>607</v>
      </c>
      <c r="D107" s="29" t="s">
        <v>138</v>
      </c>
      <c r="E107" s="29"/>
      <c r="F107" s="30"/>
      <c r="G107" s="31">
        <v>5</v>
      </c>
      <c r="H107" s="32" t="s">
        <v>135</v>
      </c>
      <c r="I107" s="33"/>
      <c r="J107" s="34"/>
      <c r="K107" s="35"/>
    </row>
    <row r="108" spans="1:11" ht="25" x14ac:dyDescent="0.35">
      <c r="A108" s="29">
        <v>103</v>
      </c>
      <c r="B108" s="29" t="s">
        <v>456</v>
      </c>
      <c r="C108" s="30" t="s">
        <v>608</v>
      </c>
      <c r="D108" s="29" t="s">
        <v>140</v>
      </c>
      <c r="E108" s="29">
        <v>6</v>
      </c>
      <c r="F108" s="30" t="s">
        <v>609</v>
      </c>
      <c r="G108" s="31">
        <v>5.4</v>
      </c>
      <c r="H108" s="32" t="s">
        <v>135</v>
      </c>
      <c r="I108" s="33"/>
      <c r="J108" s="34"/>
      <c r="K108" s="35"/>
    </row>
    <row r="109" spans="1:11" x14ac:dyDescent="0.35">
      <c r="A109" s="29">
        <v>104</v>
      </c>
      <c r="B109" s="29" t="s">
        <v>456</v>
      </c>
      <c r="C109" s="30" t="s">
        <v>610</v>
      </c>
      <c r="D109" s="29" t="s">
        <v>140</v>
      </c>
      <c r="E109" s="29">
        <v>1</v>
      </c>
      <c r="F109" s="30" t="s">
        <v>504</v>
      </c>
      <c r="G109" s="31">
        <v>0.4</v>
      </c>
      <c r="H109" s="32" t="s">
        <v>135</v>
      </c>
      <c r="I109" s="33"/>
      <c r="J109" s="34"/>
      <c r="K109" s="35"/>
    </row>
    <row r="110" spans="1:11" x14ac:dyDescent="0.35">
      <c r="A110" s="29">
        <v>105</v>
      </c>
      <c r="B110" s="29" t="s">
        <v>456</v>
      </c>
      <c r="C110" s="30" t="s">
        <v>611</v>
      </c>
      <c r="D110" s="29" t="s">
        <v>140</v>
      </c>
      <c r="E110" s="29">
        <v>1</v>
      </c>
      <c r="F110" s="30" t="s">
        <v>508</v>
      </c>
      <c r="G110" s="31">
        <v>0.75</v>
      </c>
      <c r="H110" s="32" t="s">
        <v>135</v>
      </c>
      <c r="I110" s="33"/>
      <c r="J110" s="34"/>
      <c r="K110" s="35"/>
    </row>
    <row r="111" spans="1:11" x14ac:dyDescent="0.35">
      <c r="A111" s="29">
        <v>106</v>
      </c>
      <c r="B111" s="29" t="s">
        <v>456</v>
      </c>
      <c r="C111" s="30" t="s">
        <v>612</v>
      </c>
      <c r="D111" s="29" t="s">
        <v>140</v>
      </c>
      <c r="E111" s="29">
        <v>1</v>
      </c>
      <c r="F111" s="30" t="s">
        <v>508</v>
      </c>
      <c r="G111" s="31">
        <v>0.75</v>
      </c>
      <c r="H111" s="32" t="s">
        <v>135</v>
      </c>
      <c r="I111" s="33"/>
      <c r="J111" s="34"/>
      <c r="K111" s="35"/>
    </row>
    <row r="112" spans="1:11" x14ac:dyDescent="0.35">
      <c r="A112" s="29">
        <v>107</v>
      </c>
      <c r="B112" s="29" t="s">
        <v>456</v>
      </c>
      <c r="C112" s="30" t="s">
        <v>613</v>
      </c>
      <c r="D112" s="29" t="s">
        <v>140</v>
      </c>
      <c r="E112" s="29">
        <v>1</v>
      </c>
      <c r="F112" s="30" t="s">
        <v>508</v>
      </c>
      <c r="G112" s="31">
        <v>0.75</v>
      </c>
      <c r="H112" s="32" t="s">
        <v>135</v>
      </c>
      <c r="I112" s="33"/>
      <c r="J112" s="34"/>
      <c r="K112" s="35"/>
    </row>
    <row r="113" spans="1:11" x14ac:dyDescent="0.35">
      <c r="A113" s="29">
        <v>108</v>
      </c>
      <c r="B113" s="29" t="s">
        <v>456</v>
      </c>
      <c r="C113" s="30" t="s">
        <v>614</v>
      </c>
      <c r="D113" s="29" t="s">
        <v>140</v>
      </c>
      <c r="E113" s="29">
        <v>1</v>
      </c>
      <c r="F113" s="30" t="s">
        <v>508</v>
      </c>
      <c r="G113" s="31">
        <v>0.75</v>
      </c>
      <c r="H113" s="32" t="s">
        <v>135</v>
      </c>
      <c r="I113" s="33"/>
      <c r="J113" s="34"/>
      <c r="K113" s="35"/>
    </row>
    <row r="114" spans="1:11" x14ac:dyDescent="0.35">
      <c r="A114" s="29">
        <v>109</v>
      </c>
      <c r="B114" s="29" t="s">
        <v>456</v>
      </c>
      <c r="C114" s="30" t="s">
        <v>615</v>
      </c>
      <c r="D114" s="29" t="s">
        <v>140</v>
      </c>
      <c r="E114" s="29">
        <v>1</v>
      </c>
      <c r="F114" s="30" t="s">
        <v>508</v>
      </c>
      <c r="G114" s="31">
        <v>0.75</v>
      </c>
      <c r="H114" s="32" t="s">
        <v>135</v>
      </c>
      <c r="I114" s="33"/>
      <c r="J114" s="34"/>
      <c r="K114" s="35"/>
    </row>
    <row r="115" spans="1:11" x14ac:dyDescent="0.35">
      <c r="A115" s="29">
        <v>110</v>
      </c>
      <c r="B115" s="29" t="s">
        <v>456</v>
      </c>
      <c r="C115" s="30" t="s">
        <v>616</v>
      </c>
      <c r="D115" s="29" t="s">
        <v>140</v>
      </c>
      <c r="E115" s="29">
        <v>1</v>
      </c>
      <c r="F115" s="30" t="s">
        <v>508</v>
      </c>
      <c r="G115" s="31">
        <v>0.75</v>
      </c>
      <c r="H115" s="32" t="s">
        <v>135</v>
      </c>
      <c r="I115" s="33"/>
      <c r="J115" s="34"/>
      <c r="K115" s="35"/>
    </row>
    <row r="116" spans="1:11" x14ac:dyDescent="0.35">
      <c r="A116" s="29">
        <v>111</v>
      </c>
      <c r="B116" s="29" t="s">
        <v>456</v>
      </c>
      <c r="C116" s="30" t="s">
        <v>617</v>
      </c>
      <c r="D116" s="29" t="s">
        <v>140</v>
      </c>
      <c r="E116" s="29">
        <v>1</v>
      </c>
      <c r="F116" s="30" t="s">
        <v>508</v>
      </c>
      <c r="G116" s="31">
        <v>0.75</v>
      </c>
      <c r="H116" s="32" t="s">
        <v>135</v>
      </c>
      <c r="I116" s="33"/>
      <c r="J116" s="34"/>
      <c r="K116" s="35"/>
    </row>
    <row r="117" spans="1:11" x14ac:dyDescent="0.35">
      <c r="A117" s="29">
        <v>112</v>
      </c>
      <c r="B117" s="29" t="s">
        <v>456</v>
      </c>
      <c r="C117" s="30" t="s">
        <v>618</v>
      </c>
      <c r="D117" s="29" t="s">
        <v>140</v>
      </c>
      <c r="E117" s="29">
        <v>1</v>
      </c>
      <c r="F117" s="30" t="s">
        <v>508</v>
      </c>
      <c r="G117" s="31">
        <v>0.75</v>
      </c>
      <c r="H117" s="32" t="s">
        <v>135</v>
      </c>
      <c r="I117" s="33"/>
      <c r="J117" s="34"/>
      <c r="K117" s="35"/>
    </row>
    <row r="118" spans="1:11" x14ac:dyDescent="0.35">
      <c r="A118" s="29">
        <v>113</v>
      </c>
      <c r="B118" s="29" t="s">
        <v>456</v>
      </c>
      <c r="C118" s="30" t="s">
        <v>619</v>
      </c>
      <c r="D118" s="29" t="s">
        <v>140</v>
      </c>
      <c r="E118" s="29">
        <v>1</v>
      </c>
      <c r="F118" s="30" t="s">
        <v>508</v>
      </c>
      <c r="G118" s="31">
        <v>0.75</v>
      </c>
      <c r="H118" s="32" t="s">
        <v>135</v>
      </c>
      <c r="I118" s="33"/>
      <c r="J118" s="34"/>
      <c r="K118" s="35"/>
    </row>
    <row r="119" spans="1:11" x14ac:dyDescent="0.35">
      <c r="A119" s="29">
        <v>114</v>
      </c>
      <c r="B119" s="29" t="s">
        <v>456</v>
      </c>
      <c r="C119" s="30" t="s">
        <v>620</v>
      </c>
      <c r="D119" s="29" t="s">
        <v>140</v>
      </c>
      <c r="E119" s="29">
        <v>1</v>
      </c>
      <c r="F119" s="30" t="s">
        <v>508</v>
      </c>
      <c r="G119" s="31">
        <v>0.75</v>
      </c>
      <c r="H119" s="32" t="s">
        <v>135</v>
      </c>
      <c r="I119" s="33"/>
      <c r="J119" s="34"/>
      <c r="K119" s="35"/>
    </row>
    <row r="120" spans="1:11" x14ac:dyDescent="0.35">
      <c r="A120" s="29">
        <v>115</v>
      </c>
      <c r="B120" s="29" t="s">
        <v>456</v>
      </c>
      <c r="C120" s="30" t="s">
        <v>621</v>
      </c>
      <c r="D120" s="29" t="s">
        <v>140</v>
      </c>
      <c r="E120" s="29">
        <v>1</v>
      </c>
      <c r="F120" s="30" t="s">
        <v>508</v>
      </c>
      <c r="G120" s="31">
        <v>0.75</v>
      </c>
      <c r="H120" s="32" t="s">
        <v>135</v>
      </c>
      <c r="I120" s="33"/>
      <c r="J120" s="34"/>
      <c r="K120" s="35"/>
    </row>
    <row r="121" spans="1:11" x14ac:dyDescent="0.35">
      <c r="A121" s="29">
        <v>116</v>
      </c>
      <c r="B121" s="29" t="s">
        <v>456</v>
      </c>
      <c r="C121" s="30" t="s">
        <v>622</v>
      </c>
      <c r="D121" s="29" t="s">
        <v>140</v>
      </c>
      <c r="E121" s="29">
        <v>1</v>
      </c>
      <c r="F121" s="30" t="s">
        <v>508</v>
      </c>
      <c r="G121" s="31">
        <v>0.75</v>
      </c>
      <c r="H121" s="32" t="s">
        <v>135</v>
      </c>
      <c r="I121" s="33"/>
      <c r="J121" s="34"/>
      <c r="K121" s="35"/>
    </row>
    <row r="122" spans="1:11" x14ac:dyDescent="0.35">
      <c r="A122" s="29">
        <v>117</v>
      </c>
      <c r="B122" s="29" t="s">
        <v>456</v>
      </c>
      <c r="C122" s="30" t="s">
        <v>623</v>
      </c>
      <c r="D122" s="29" t="s">
        <v>140</v>
      </c>
      <c r="E122" s="29">
        <v>1</v>
      </c>
      <c r="F122" s="30" t="s">
        <v>516</v>
      </c>
      <c r="G122" s="31">
        <v>1.25</v>
      </c>
      <c r="H122" s="32" t="s">
        <v>135</v>
      </c>
      <c r="I122" s="33"/>
      <c r="J122" s="34"/>
      <c r="K122" s="35"/>
    </row>
    <row r="123" spans="1:11" x14ac:dyDescent="0.35">
      <c r="A123" s="29">
        <v>118</v>
      </c>
      <c r="B123" s="29" t="s">
        <v>456</v>
      </c>
      <c r="C123" s="30" t="s">
        <v>624</v>
      </c>
      <c r="D123" s="29" t="s">
        <v>140</v>
      </c>
      <c r="E123" s="29">
        <v>1</v>
      </c>
      <c r="F123" s="30" t="s">
        <v>516</v>
      </c>
      <c r="G123" s="31">
        <v>1.25</v>
      </c>
      <c r="H123" s="32" t="s">
        <v>135</v>
      </c>
      <c r="I123" s="33"/>
      <c r="J123" s="34"/>
      <c r="K123" s="35"/>
    </row>
    <row r="124" spans="1:11" x14ac:dyDescent="0.35">
      <c r="A124" s="29">
        <v>119</v>
      </c>
      <c r="B124" s="29" t="s">
        <v>625</v>
      </c>
      <c r="C124" s="36" t="s">
        <v>626</v>
      </c>
      <c r="D124" s="29" t="s">
        <v>138</v>
      </c>
      <c r="E124" s="29"/>
      <c r="F124" s="30"/>
      <c r="G124" s="31">
        <v>4</v>
      </c>
      <c r="H124" s="32" t="s">
        <v>135</v>
      </c>
      <c r="I124" s="33"/>
      <c r="J124" s="34"/>
      <c r="K124" s="35"/>
    </row>
    <row r="125" spans="1:11" ht="25" x14ac:dyDescent="0.35">
      <c r="A125" s="29">
        <v>120</v>
      </c>
      <c r="B125" s="29" t="s">
        <v>625</v>
      </c>
      <c r="C125" s="30" t="s">
        <v>627</v>
      </c>
      <c r="D125" s="29" t="s">
        <v>140</v>
      </c>
      <c r="E125" s="29">
        <v>4</v>
      </c>
      <c r="F125" s="30" t="s">
        <v>628</v>
      </c>
      <c r="G125" s="31">
        <v>3.6</v>
      </c>
      <c r="H125" s="32" t="s">
        <v>135</v>
      </c>
      <c r="I125" s="33"/>
      <c r="J125" s="34"/>
      <c r="K125" s="35"/>
    </row>
    <row r="126" spans="1:11" x14ac:dyDescent="0.35">
      <c r="A126" s="29">
        <v>121</v>
      </c>
      <c r="B126" s="29" t="s">
        <v>625</v>
      </c>
      <c r="C126" s="30" t="s">
        <v>629</v>
      </c>
      <c r="D126" s="29" t="s">
        <v>140</v>
      </c>
      <c r="E126" s="29">
        <v>1</v>
      </c>
      <c r="F126" s="30" t="s">
        <v>516</v>
      </c>
      <c r="G126" s="31">
        <v>1.25</v>
      </c>
      <c r="H126" s="32" t="s">
        <v>135</v>
      </c>
      <c r="I126" s="33"/>
      <c r="J126" s="34"/>
      <c r="K126" s="35"/>
    </row>
    <row r="127" spans="1:11" x14ac:dyDescent="0.35">
      <c r="A127" s="29">
        <v>122</v>
      </c>
      <c r="B127" s="29" t="s">
        <v>625</v>
      </c>
      <c r="C127" s="30" t="s">
        <v>630</v>
      </c>
      <c r="D127" s="29" t="s">
        <v>140</v>
      </c>
      <c r="E127" s="29">
        <v>1</v>
      </c>
      <c r="F127" s="30" t="s">
        <v>516</v>
      </c>
      <c r="G127" s="31">
        <v>1.25</v>
      </c>
      <c r="H127" s="32" t="s">
        <v>135</v>
      </c>
      <c r="I127" s="33"/>
      <c r="J127" s="34"/>
      <c r="K127" s="35"/>
    </row>
    <row r="128" spans="1:11" x14ac:dyDescent="0.35">
      <c r="A128" s="29">
        <v>123</v>
      </c>
      <c r="B128" s="29" t="s">
        <v>460</v>
      </c>
      <c r="C128" s="36" t="s">
        <v>631</v>
      </c>
      <c r="D128" s="29" t="s">
        <v>138</v>
      </c>
      <c r="E128" s="29"/>
      <c r="F128" s="30"/>
      <c r="G128" s="31">
        <v>2.5</v>
      </c>
      <c r="H128" s="32" t="s">
        <v>135</v>
      </c>
      <c r="I128" s="33"/>
      <c r="J128" s="34"/>
      <c r="K128" s="35"/>
    </row>
    <row r="129" spans="1:11" ht="25" x14ac:dyDescent="0.35">
      <c r="A129" s="29">
        <v>124</v>
      </c>
      <c r="B129" s="29" t="s">
        <v>460</v>
      </c>
      <c r="C129" s="30" t="s">
        <v>632</v>
      </c>
      <c r="D129" s="29" t="s">
        <v>140</v>
      </c>
      <c r="E129" s="29">
        <v>2</v>
      </c>
      <c r="F129" s="30" t="s">
        <v>633</v>
      </c>
      <c r="G129" s="31">
        <v>1.8</v>
      </c>
      <c r="H129" s="32" t="s">
        <v>135</v>
      </c>
      <c r="I129" s="33"/>
      <c r="J129" s="34"/>
      <c r="K129" s="35"/>
    </row>
    <row r="130" spans="1:11" x14ac:dyDescent="0.35">
      <c r="A130" s="29">
        <v>125</v>
      </c>
      <c r="B130" s="29" t="s">
        <v>634</v>
      </c>
      <c r="C130" s="36" t="s">
        <v>635</v>
      </c>
      <c r="D130" s="29" t="s">
        <v>138</v>
      </c>
      <c r="E130" s="29"/>
      <c r="F130" s="30" t="s">
        <v>636</v>
      </c>
      <c r="G130" s="31">
        <v>3</v>
      </c>
      <c r="H130" s="32" t="s">
        <v>135</v>
      </c>
      <c r="I130" s="33"/>
      <c r="J130" s="34"/>
      <c r="K130" s="35"/>
    </row>
    <row r="131" spans="1:11" ht="25" x14ac:dyDescent="0.35">
      <c r="A131" s="29">
        <v>126</v>
      </c>
      <c r="B131" s="29" t="s">
        <v>412</v>
      </c>
      <c r="C131" s="30" t="s">
        <v>413</v>
      </c>
      <c r="D131" s="29" t="s">
        <v>414</v>
      </c>
      <c r="E131" s="29"/>
      <c r="F131" s="30" t="s">
        <v>415</v>
      </c>
      <c r="G131" s="31">
        <v>10</v>
      </c>
      <c r="H131" s="32" t="s">
        <v>135</v>
      </c>
      <c r="I131" s="33"/>
      <c r="J131" s="34"/>
      <c r="K131" s="35"/>
    </row>
  </sheetData>
  <autoFilter ref="A5:K131" xr:uid="{00000000-0009-0000-0000-000004000000}"/>
  <mergeCells count="1">
    <mergeCell ref="A2:K2"/>
  </mergeCells>
  <conditionalFormatting sqref="A6:K131">
    <cfRule type="expression" dxfId="20" priority="2">
      <formula>$H6="Done"</formula>
    </cfRule>
    <cfRule type="expression" dxfId="19" priority="3">
      <formula>$H6="In progress"</formula>
    </cfRule>
    <cfRule type="expression" dxfId="18" priority="4">
      <formula>$H6="Skipped"</formula>
    </cfRule>
  </conditionalFormatting>
  <dataValidations count="1">
    <dataValidation type="list" allowBlank="1" errorTitle="Status" error="Pick a status from the list." sqref="H6:H500" xr:uid="{00000000-0002-0000-04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3"/>
  <sheetViews>
    <sheetView zoomScaleNormal="100" workbookViewId="0">
      <pane xSplit="3" ySplit="5" topLeftCell="D42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637</v>
      </c>
    </row>
    <row r="2" spans="1:11" ht="42" customHeight="1" x14ac:dyDescent="0.35">
      <c r="A2" s="37" t="s">
        <v>638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183.8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219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ht="25" x14ac:dyDescent="0.35">
      <c r="A6" s="29">
        <v>1</v>
      </c>
      <c r="B6" s="29" t="s">
        <v>132</v>
      </c>
      <c r="C6" s="30" t="s">
        <v>639</v>
      </c>
      <c r="D6" s="29" t="s">
        <v>132</v>
      </c>
      <c r="E6" s="29"/>
      <c r="F6" s="30" t="s">
        <v>640</v>
      </c>
      <c r="G6" s="31">
        <v>10</v>
      </c>
      <c r="H6" s="32" t="s">
        <v>135</v>
      </c>
      <c r="I6" s="33"/>
      <c r="J6" s="34"/>
      <c r="K6" s="35"/>
    </row>
    <row r="7" spans="1:11" x14ac:dyDescent="0.35">
      <c r="A7" s="29">
        <v>2</v>
      </c>
      <c r="B7" s="29" t="s">
        <v>132</v>
      </c>
      <c r="C7" s="30" t="s">
        <v>641</v>
      </c>
      <c r="D7" s="29" t="s">
        <v>132</v>
      </c>
      <c r="E7" s="29"/>
      <c r="F7" s="30" t="s">
        <v>642</v>
      </c>
      <c r="G7" s="31">
        <v>2</v>
      </c>
      <c r="H7" s="32" t="s">
        <v>135</v>
      </c>
      <c r="I7" s="33"/>
      <c r="J7" s="34"/>
      <c r="K7" s="35"/>
    </row>
    <row r="8" spans="1:11" x14ac:dyDescent="0.35">
      <c r="A8" s="29">
        <v>3</v>
      </c>
      <c r="B8" s="29" t="s">
        <v>420</v>
      </c>
      <c r="C8" s="36" t="s">
        <v>643</v>
      </c>
      <c r="D8" s="29" t="s">
        <v>138</v>
      </c>
      <c r="E8" s="29"/>
      <c r="F8" s="30"/>
      <c r="G8" s="31">
        <v>2</v>
      </c>
      <c r="H8" s="32" t="s">
        <v>135</v>
      </c>
      <c r="I8" s="33"/>
      <c r="J8" s="34"/>
      <c r="K8" s="35"/>
    </row>
    <row r="9" spans="1:11" x14ac:dyDescent="0.35">
      <c r="A9" s="29">
        <v>4</v>
      </c>
      <c r="B9" s="29" t="s">
        <v>420</v>
      </c>
      <c r="C9" s="30" t="s">
        <v>644</v>
      </c>
      <c r="D9" s="29" t="s">
        <v>140</v>
      </c>
      <c r="E9" s="29">
        <v>2</v>
      </c>
      <c r="F9" s="30" t="s">
        <v>645</v>
      </c>
      <c r="G9" s="31">
        <v>0.3</v>
      </c>
      <c r="H9" s="32" t="s">
        <v>135</v>
      </c>
      <c r="I9" s="33"/>
      <c r="J9" s="34"/>
      <c r="K9" s="35"/>
    </row>
    <row r="10" spans="1:11" ht="26" x14ac:dyDescent="0.35">
      <c r="A10" s="29">
        <v>5</v>
      </c>
      <c r="B10" s="29" t="s">
        <v>424</v>
      </c>
      <c r="C10" s="36" t="s">
        <v>646</v>
      </c>
      <c r="D10" s="29" t="s">
        <v>138</v>
      </c>
      <c r="E10" s="29"/>
      <c r="F10" s="30"/>
      <c r="G10" s="31">
        <v>11</v>
      </c>
      <c r="H10" s="32" t="s">
        <v>135</v>
      </c>
      <c r="I10" s="33"/>
      <c r="J10" s="34"/>
      <c r="K10" s="35"/>
    </row>
    <row r="11" spans="1:11" x14ac:dyDescent="0.35">
      <c r="A11" s="29">
        <v>6</v>
      </c>
      <c r="B11" s="29" t="s">
        <v>424</v>
      </c>
      <c r="C11" s="30" t="s">
        <v>647</v>
      </c>
      <c r="D11" s="29" t="s">
        <v>140</v>
      </c>
      <c r="E11" s="29">
        <v>54</v>
      </c>
      <c r="F11" s="30" t="s">
        <v>648</v>
      </c>
      <c r="G11" s="31">
        <v>9</v>
      </c>
      <c r="H11" s="32" t="s">
        <v>135</v>
      </c>
      <c r="I11" s="33"/>
      <c r="J11" s="34"/>
      <c r="K11" s="35"/>
    </row>
    <row r="12" spans="1:11" x14ac:dyDescent="0.35">
      <c r="A12" s="29">
        <v>7</v>
      </c>
      <c r="B12" s="29" t="s">
        <v>424</v>
      </c>
      <c r="C12" s="30" t="s">
        <v>649</v>
      </c>
      <c r="D12" s="29" t="s">
        <v>650</v>
      </c>
      <c r="E12" s="29"/>
      <c r="F12" s="30" t="s">
        <v>651</v>
      </c>
      <c r="G12" s="31">
        <v>10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424</v>
      </c>
      <c r="C13" s="30" t="s">
        <v>284</v>
      </c>
      <c r="D13" s="29" t="s">
        <v>140</v>
      </c>
      <c r="E13" s="29">
        <v>1</v>
      </c>
      <c r="F13" s="30" t="s">
        <v>652</v>
      </c>
      <c r="G13" s="31">
        <v>1.5</v>
      </c>
      <c r="H13" s="32" t="s">
        <v>135</v>
      </c>
      <c r="I13" s="33"/>
      <c r="J13" s="34"/>
      <c r="K13" s="35"/>
    </row>
    <row r="14" spans="1:11" x14ac:dyDescent="0.35">
      <c r="A14" s="29">
        <v>9</v>
      </c>
      <c r="B14" s="29" t="s">
        <v>424</v>
      </c>
      <c r="C14" s="30" t="s">
        <v>294</v>
      </c>
      <c r="D14" s="29" t="s">
        <v>140</v>
      </c>
      <c r="E14" s="29">
        <v>1</v>
      </c>
      <c r="F14" s="30" t="s">
        <v>653</v>
      </c>
      <c r="G14" s="31">
        <v>1</v>
      </c>
      <c r="H14" s="32" t="s">
        <v>135</v>
      </c>
      <c r="I14" s="33"/>
      <c r="J14" s="34"/>
      <c r="K14" s="35"/>
    </row>
    <row r="15" spans="1:11" x14ac:dyDescent="0.35">
      <c r="A15" s="29">
        <v>10</v>
      </c>
      <c r="B15" s="29" t="s">
        <v>424</v>
      </c>
      <c r="C15" s="30" t="s">
        <v>296</v>
      </c>
      <c r="D15" s="29" t="s">
        <v>140</v>
      </c>
      <c r="E15" s="29">
        <v>1</v>
      </c>
      <c r="F15" s="30" t="s">
        <v>654</v>
      </c>
      <c r="G15" s="31">
        <v>1</v>
      </c>
      <c r="H15" s="32" t="s">
        <v>135</v>
      </c>
      <c r="I15" s="33"/>
      <c r="J15" s="34"/>
      <c r="K15" s="35"/>
    </row>
    <row r="16" spans="1:11" x14ac:dyDescent="0.35">
      <c r="A16" s="29">
        <v>11</v>
      </c>
      <c r="B16" s="29" t="s">
        <v>424</v>
      </c>
      <c r="C16" s="30" t="s">
        <v>304</v>
      </c>
      <c r="D16" s="29" t="s">
        <v>140</v>
      </c>
      <c r="E16" s="29">
        <v>1</v>
      </c>
      <c r="F16" s="30" t="s">
        <v>655</v>
      </c>
      <c r="G16" s="31">
        <v>0.75</v>
      </c>
      <c r="H16" s="32" t="s">
        <v>135</v>
      </c>
      <c r="I16" s="33"/>
      <c r="J16" s="34"/>
      <c r="K16" s="35"/>
    </row>
    <row r="17" spans="1:11" x14ac:dyDescent="0.35">
      <c r="A17" s="29">
        <v>12</v>
      </c>
      <c r="B17" s="29" t="s">
        <v>424</v>
      </c>
      <c r="C17" s="30" t="s">
        <v>656</v>
      </c>
      <c r="D17" s="29" t="s">
        <v>140</v>
      </c>
      <c r="E17" s="29">
        <v>1</v>
      </c>
      <c r="F17" s="30" t="s">
        <v>657</v>
      </c>
      <c r="G17" s="31">
        <v>0.75</v>
      </c>
      <c r="H17" s="32" t="s">
        <v>135</v>
      </c>
      <c r="I17" s="33"/>
      <c r="J17" s="34"/>
      <c r="K17" s="35"/>
    </row>
    <row r="18" spans="1:11" x14ac:dyDescent="0.35">
      <c r="A18" s="29">
        <v>13</v>
      </c>
      <c r="B18" s="29" t="s">
        <v>424</v>
      </c>
      <c r="C18" s="30" t="s">
        <v>314</v>
      </c>
      <c r="D18" s="29" t="s">
        <v>140</v>
      </c>
      <c r="E18" s="29">
        <v>1</v>
      </c>
      <c r="F18" s="30" t="s">
        <v>658</v>
      </c>
      <c r="G18" s="31">
        <v>0.75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424</v>
      </c>
      <c r="C19" s="30" t="s">
        <v>659</v>
      </c>
      <c r="D19" s="29" t="s">
        <v>140</v>
      </c>
      <c r="E19" s="29">
        <v>1</v>
      </c>
      <c r="F19" s="30" t="s">
        <v>660</v>
      </c>
      <c r="G19" s="31">
        <v>0.75</v>
      </c>
      <c r="H19" s="32" t="s">
        <v>135</v>
      </c>
      <c r="I19" s="33"/>
      <c r="J19" s="34"/>
      <c r="K19" s="35"/>
    </row>
    <row r="20" spans="1:11" ht="26" x14ac:dyDescent="0.35">
      <c r="A20" s="29">
        <v>15</v>
      </c>
      <c r="B20" s="29" t="s">
        <v>428</v>
      </c>
      <c r="C20" s="36" t="s">
        <v>661</v>
      </c>
      <c r="D20" s="29" t="s">
        <v>138</v>
      </c>
      <c r="E20" s="29"/>
      <c r="F20" s="30"/>
      <c r="G20" s="31">
        <v>14</v>
      </c>
      <c r="H20" s="32" t="s">
        <v>135</v>
      </c>
      <c r="I20" s="33"/>
      <c r="J20" s="34"/>
      <c r="K20" s="35"/>
    </row>
    <row r="21" spans="1:11" x14ac:dyDescent="0.35">
      <c r="A21" s="29">
        <v>16</v>
      </c>
      <c r="B21" s="29" t="s">
        <v>428</v>
      </c>
      <c r="C21" s="30" t="s">
        <v>662</v>
      </c>
      <c r="D21" s="29" t="s">
        <v>140</v>
      </c>
      <c r="E21" s="29">
        <v>57</v>
      </c>
      <c r="F21" s="30" t="s">
        <v>663</v>
      </c>
      <c r="G21" s="31">
        <v>10</v>
      </c>
      <c r="H21" s="32" t="s">
        <v>135</v>
      </c>
      <c r="I21" s="33"/>
      <c r="J21" s="34"/>
      <c r="K21" s="35"/>
    </row>
    <row r="22" spans="1:11" x14ac:dyDescent="0.35">
      <c r="A22" s="29">
        <v>17</v>
      </c>
      <c r="B22" s="29" t="s">
        <v>428</v>
      </c>
      <c r="C22" s="30" t="s">
        <v>664</v>
      </c>
      <c r="D22" s="29" t="s">
        <v>650</v>
      </c>
      <c r="E22" s="29"/>
      <c r="F22" s="30" t="s">
        <v>665</v>
      </c>
      <c r="G22" s="31">
        <v>11</v>
      </c>
      <c r="H22" s="32" t="s">
        <v>135</v>
      </c>
      <c r="I22" s="33"/>
      <c r="J22" s="34"/>
      <c r="K22" s="35"/>
    </row>
    <row r="23" spans="1:11" x14ac:dyDescent="0.35">
      <c r="A23" s="29">
        <v>18</v>
      </c>
      <c r="B23" s="29" t="s">
        <v>428</v>
      </c>
      <c r="C23" s="30" t="s">
        <v>666</v>
      </c>
      <c r="D23" s="29" t="s">
        <v>650</v>
      </c>
      <c r="E23" s="29"/>
      <c r="F23" s="30" t="s">
        <v>667</v>
      </c>
      <c r="G23" s="31">
        <v>10</v>
      </c>
      <c r="H23" s="32" t="s">
        <v>135</v>
      </c>
      <c r="I23" s="33"/>
      <c r="J23" s="34"/>
      <c r="K23" s="35"/>
    </row>
    <row r="24" spans="1:11" x14ac:dyDescent="0.35">
      <c r="A24" s="29">
        <v>19</v>
      </c>
      <c r="B24" s="29" t="s">
        <v>428</v>
      </c>
      <c r="C24" s="30" t="s">
        <v>394</v>
      </c>
      <c r="D24" s="29" t="s">
        <v>140</v>
      </c>
      <c r="E24" s="29">
        <v>1</v>
      </c>
      <c r="F24" s="30" t="s">
        <v>668</v>
      </c>
      <c r="G24" s="31">
        <v>1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428</v>
      </c>
      <c r="C25" s="30" t="s">
        <v>396</v>
      </c>
      <c r="D25" s="29" t="s">
        <v>140</v>
      </c>
      <c r="E25" s="29">
        <v>1</v>
      </c>
      <c r="F25" s="30" t="s">
        <v>669</v>
      </c>
      <c r="G25" s="31">
        <v>1</v>
      </c>
      <c r="H25" s="32" t="s">
        <v>135</v>
      </c>
      <c r="I25" s="33"/>
      <c r="J25" s="34"/>
      <c r="K25" s="35"/>
    </row>
    <row r="26" spans="1:11" x14ac:dyDescent="0.35">
      <c r="A26" s="29">
        <v>21</v>
      </c>
      <c r="B26" s="29" t="s">
        <v>428</v>
      </c>
      <c r="C26" s="30" t="s">
        <v>670</v>
      </c>
      <c r="D26" s="29" t="s">
        <v>140</v>
      </c>
      <c r="E26" s="29">
        <v>1</v>
      </c>
      <c r="F26" s="30" t="s">
        <v>671</v>
      </c>
      <c r="G26" s="31">
        <v>1.5</v>
      </c>
      <c r="H26" s="32" t="s">
        <v>135</v>
      </c>
      <c r="I26" s="33"/>
      <c r="J26" s="34"/>
      <c r="K26" s="35"/>
    </row>
    <row r="27" spans="1:11" x14ac:dyDescent="0.35">
      <c r="A27" s="29">
        <v>22</v>
      </c>
      <c r="B27" s="29" t="s">
        <v>428</v>
      </c>
      <c r="C27" s="30" t="s">
        <v>672</v>
      </c>
      <c r="D27" s="29" t="s">
        <v>140</v>
      </c>
      <c r="E27" s="29">
        <v>1</v>
      </c>
      <c r="F27" s="30" t="s">
        <v>673</v>
      </c>
      <c r="G27" s="31">
        <v>1</v>
      </c>
      <c r="H27" s="32" t="s">
        <v>135</v>
      </c>
      <c r="I27" s="33"/>
      <c r="J27" s="34"/>
      <c r="K27" s="35"/>
    </row>
    <row r="28" spans="1:11" x14ac:dyDescent="0.35">
      <c r="A28" s="29">
        <v>23</v>
      </c>
      <c r="B28" s="29" t="s">
        <v>428</v>
      </c>
      <c r="C28" s="30" t="s">
        <v>674</v>
      </c>
      <c r="D28" s="29" t="s">
        <v>140</v>
      </c>
      <c r="E28" s="29">
        <v>1</v>
      </c>
      <c r="F28" s="30" t="s">
        <v>675</v>
      </c>
      <c r="G28" s="31">
        <v>1</v>
      </c>
      <c r="H28" s="32" t="s">
        <v>135</v>
      </c>
      <c r="I28" s="33"/>
      <c r="J28" s="34"/>
      <c r="K28" s="35"/>
    </row>
    <row r="29" spans="1:11" x14ac:dyDescent="0.35">
      <c r="A29" s="29">
        <v>24</v>
      </c>
      <c r="B29" s="29" t="s">
        <v>432</v>
      </c>
      <c r="C29" s="36" t="s">
        <v>676</v>
      </c>
      <c r="D29" s="29" t="s">
        <v>138</v>
      </c>
      <c r="E29" s="29"/>
      <c r="F29" s="30"/>
      <c r="G29" s="31">
        <v>11</v>
      </c>
      <c r="H29" s="32" t="s">
        <v>135</v>
      </c>
      <c r="I29" s="33"/>
      <c r="J29" s="34"/>
      <c r="K29" s="35"/>
    </row>
    <row r="30" spans="1:11" x14ac:dyDescent="0.35">
      <c r="A30" s="29">
        <v>25</v>
      </c>
      <c r="B30" s="29" t="s">
        <v>432</v>
      </c>
      <c r="C30" s="30" t="s">
        <v>677</v>
      </c>
      <c r="D30" s="29" t="s">
        <v>140</v>
      </c>
      <c r="E30" s="29">
        <v>44</v>
      </c>
      <c r="F30" s="30" t="s">
        <v>663</v>
      </c>
      <c r="G30" s="31">
        <v>7</v>
      </c>
      <c r="H30" s="32" t="s">
        <v>135</v>
      </c>
      <c r="I30" s="33"/>
      <c r="J30" s="34"/>
      <c r="K30" s="35"/>
    </row>
    <row r="31" spans="1:11" x14ac:dyDescent="0.35">
      <c r="A31" s="29">
        <v>26</v>
      </c>
      <c r="B31" s="29" t="s">
        <v>432</v>
      </c>
      <c r="C31" s="30" t="s">
        <v>678</v>
      </c>
      <c r="D31" s="29" t="s">
        <v>140</v>
      </c>
      <c r="E31" s="29">
        <v>1</v>
      </c>
      <c r="F31" s="30" t="s">
        <v>679</v>
      </c>
      <c r="G31" s="31">
        <v>1.5</v>
      </c>
      <c r="H31" s="32" t="s">
        <v>135</v>
      </c>
      <c r="I31" s="33"/>
      <c r="J31" s="34"/>
      <c r="K31" s="35"/>
    </row>
    <row r="32" spans="1:11" x14ac:dyDescent="0.35">
      <c r="A32" s="29">
        <v>27</v>
      </c>
      <c r="B32" s="29" t="s">
        <v>432</v>
      </c>
      <c r="C32" s="30" t="s">
        <v>680</v>
      </c>
      <c r="D32" s="29" t="s">
        <v>140</v>
      </c>
      <c r="E32" s="29">
        <v>1</v>
      </c>
      <c r="F32" s="30" t="s">
        <v>681</v>
      </c>
      <c r="G32" s="31">
        <v>0.75</v>
      </c>
      <c r="H32" s="32" t="s">
        <v>135</v>
      </c>
      <c r="I32" s="33"/>
      <c r="J32" s="34"/>
      <c r="K32" s="35"/>
    </row>
    <row r="33" spans="1:11" x14ac:dyDescent="0.35">
      <c r="A33" s="29">
        <v>28</v>
      </c>
      <c r="B33" s="29" t="s">
        <v>432</v>
      </c>
      <c r="C33" s="30" t="s">
        <v>682</v>
      </c>
      <c r="D33" s="29" t="s">
        <v>140</v>
      </c>
      <c r="E33" s="29">
        <v>1</v>
      </c>
      <c r="F33" s="30" t="s">
        <v>683</v>
      </c>
      <c r="G33" s="31">
        <v>1.5</v>
      </c>
      <c r="H33" s="32" t="s">
        <v>135</v>
      </c>
      <c r="I33" s="33"/>
      <c r="J33" s="34"/>
      <c r="K33" s="35"/>
    </row>
    <row r="34" spans="1:11" x14ac:dyDescent="0.35">
      <c r="A34" s="29">
        <v>29</v>
      </c>
      <c r="B34" s="29" t="s">
        <v>432</v>
      </c>
      <c r="C34" s="30" t="s">
        <v>684</v>
      </c>
      <c r="D34" s="29" t="s">
        <v>140</v>
      </c>
      <c r="E34" s="29">
        <v>1</v>
      </c>
      <c r="F34" s="30" t="s">
        <v>685</v>
      </c>
      <c r="G34" s="31">
        <v>2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432</v>
      </c>
      <c r="C35" s="30" t="s">
        <v>686</v>
      </c>
      <c r="D35" s="29" t="s">
        <v>140</v>
      </c>
      <c r="E35" s="29">
        <v>1</v>
      </c>
      <c r="F35" s="30" t="s">
        <v>687</v>
      </c>
      <c r="G35" s="31">
        <v>1.5</v>
      </c>
      <c r="H35" s="32" t="s">
        <v>135</v>
      </c>
      <c r="I35" s="33"/>
      <c r="J35" s="34"/>
      <c r="K35" s="35"/>
    </row>
    <row r="36" spans="1:11" x14ac:dyDescent="0.35">
      <c r="A36" s="29">
        <v>31</v>
      </c>
      <c r="B36" s="29" t="s">
        <v>432</v>
      </c>
      <c r="C36" s="30" t="s">
        <v>688</v>
      </c>
      <c r="D36" s="29" t="s">
        <v>140</v>
      </c>
      <c r="E36" s="29">
        <v>1</v>
      </c>
      <c r="F36" s="30" t="s">
        <v>689</v>
      </c>
      <c r="G36" s="31">
        <v>1.5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436</v>
      </c>
      <c r="C37" s="36" t="s">
        <v>690</v>
      </c>
      <c r="D37" s="29" t="s">
        <v>138</v>
      </c>
      <c r="E37" s="29"/>
      <c r="F37" s="30"/>
      <c r="G37" s="31">
        <v>7</v>
      </c>
      <c r="H37" s="32" t="s">
        <v>135</v>
      </c>
      <c r="I37" s="33"/>
      <c r="J37" s="34"/>
      <c r="K37" s="35"/>
    </row>
    <row r="38" spans="1:11" x14ac:dyDescent="0.35">
      <c r="A38" s="29">
        <v>33</v>
      </c>
      <c r="B38" s="29" t="s">
        <v>436</v>
      </c>
      <c r="C38" s="30" t="s">
        <v>691</v>
      </c>
      <c r="D38" s="29" t="s">
        <v>140</v>
      </c>
      <c r="E38" s="29">
        <v>12</v>
      </c>
      <c r="F38" s="30" t="s">
        <v>663</v>
      </c>
      <c r="G38" s="31">
        <v>2.5</v>
      </c>
      <c r="H38" s="32" t="s">
        <v>135</v>
      </c>
      <c r="I38" s="33"/>
      <c r="J38" s="34"/>
      <c r="K38" s="35"/>
    </row>
    <row r="39" spans="1:11" x14ac:dyDescent="0.35">
      <c r="A39" s="29">
        <v>34</v>
      </c>
      <c r="B39" s="29" t="s">
        <v>436</v>
      </c>
      <c r="C39" s="30" t="s">
        <v>692</v>
      </c>
      <c r="D39" s="29" t="s">
        <v>140</v>
      </c>
      <c r="E39" s="29">
        <v>1</v>
      </c>
      <c r="F39" s="30" t="s">
        <v>693</v>
      </c>
      <c r="G39" s="31">
        <v>1</v>
      </c>
      <c r="H39" s="32" t="s">
        <v>135</v>
      </c>
      <c r="I39" s="33"/>
      <c r="J39" s="34"/>
      <c r="K39" s="35"/>
    </row>
    <row r="40" spans="1:11" x14ac:dyDescent="0.35">
      <c r="A40" s="29">
        <v>35</v>
      </c>
      <c r="B40" s="29" t="s">
        <v>436</v>
      </c>
      <c r="C40" s="30" t="s">
        <v>694</v>
      </c>
      <c r="D40" s="29" t="s">
        <v>140</v>
      </c>
      <c r="E40" s="29">
        <v>1</v>
      </c>
      <c r="F40" s="30" t="s">
        <v>695</v>
      </c>
      <c r="G40" s="31">
        <v>1</v>
      </c>
      <c r="H40" s="32" t="s">
        <v>135</v>
      </c>
      <c r="I40" s="33"/>
      <c r="J40" s="34"/>
      <c r="K40" s="35"/>
    </row>
    <row r="41" spans="1:11" x14ac:dyDescent="0.35">
      <c r="A41" s="29">
        <v>36</v>
      </c>
      <c r="B41" s="29" t="s">
        <v>436</v>
      </c>
      <c r="C41" s="30" t="s">
        <v>696</v>
      </c>
      <c r="D41" s="29" t="s">
        <v>140</v>
      </c>
      <c r="E41" s="29">
        <v>1</v>
      </c>
      <c r="F41" s="30" t="s">
        <v>697</v>
      </c>
      <c r="G41" s="31">
        <v>1</v>
      </c>
      <c r="H41" s="32" t="s">
        <v>135</v>
      </c>
      <c r="I41" s="33"/>
      <c r="J41" s="34"/>
      <c r="K41" s="35"/>
    </row>
    <row r="42" spans="1:11" x14ac:dyDescent="0.35">
      <c r="A42" s="29">
        <v>37</v>
      </c>
      <c r="B42" s="29" t="s">
        <v>436</v>
      </c>
      <c r="C42" s="30" t="s">
        <v>698</v>
      </c>
      <c r="D42" s="29" t="s">
        <v>140</v>
      </c>
      <c r="E42" s="29">
        <v>1</v>
      </c>
      <c r="F42" s="30" t="s">
        <v>699</v>
      </c>
      <c r="G42" s="31">
        <v>1.5</v>
      </c>
      <c r="H42" s="32" t="s">
        <v>135</v>
      </c>
      <c r="I42" s="33"/>
      <c r="J42" s="34"/>
      <c r="K42" s="35"/>
    </row>
    <row r="43" spans="1:11" x14ac:dyDescent="0.35">
      <c r="A43" s="29">
        <v>38</v>
      </c>
      <c r="B43" s="29" t="s">
        <v>436</v>
      </c>
      <c r="C43" s="30" t="s">
        <v>700</v>
      </c>
      <c r="D43" s="29" t="s">
        <v>140</v>
      </c>
      <c r="E43" s="29">
        <v>1</v>
      </c>
      <c r="F43" s="30" t="s">
        <v>701</v>
      </c>
      <c r="G43" s="31">
        <v>1</v>
      </c>
      <c r="H43" s="32" t="s">
        <v>135</v>
      </c>
      <c r="I43" s="33"/>
      <c r="J43" s="34"/>
      <c r="K43" s="35"/>
    </row>
    <row r="44" spans="1:11" x14ac:dyDescent="0.35">
      <c r="A44" s="29">
        <v>39</v>
      </c>
      <c r="B44" s="29" t="s">
        <v>440</v>
      </c>
      <c r="C44" s="36" t="s">
        <v>702</v>
      </c>
      <c r="D44" s="29" t="s">
        <v>138</v>
      </c>
      <c r="E44" s="29"/>
      <c r="F44" s="30"/>
      <c r="G44" s="31">
        <v>8</v>
      </c>
      <c r="H44" s="32" t="s">
        <v>135</v>
      </c>
      <c r="I44" s="33"/>
      <c r="J44" s="34"/>
      <c r="K44" s="35"/>
    </row>
    <row r="45" spans="1:11" x14ac:dyDescent="0.35">
      <c r="A45" s="29">
        <v>40</v>
      </c>
      <c r="B45" s="29" t="s">
        <v>440</v>
      </c>
      <c r="C45" s="30" t="s">
        <v>703</v>
      </c>
      <c r="D45" s="29" t="s">
        <v>140</v>
      </c>
      <c r="E45" s="29">
        <v>21</v>
      </c>
      <c r="F45" s="30" t="s">
        <v>663</v>
      </c>
      <c r="G45" s="31">
        <v>3.5</v>
      </c>
      <c r="H45" s="32" t="s">
        <v>135</v>
      </c>
      <c r="I45" s="33"/>
      <c r="J45" s="34"/>
      <c r="K45" s="35"/>
    </row>
    <row r="46" spans="1:11" x14ac:dyDescent="0.35">
      <c r="A46" s="29">
        <v>41</v>
      </c>
      <c r="B46" s="29" t="s">
        <v>440</v>
      </c>
      <c r="C46" s="30" t="s">
        <v>704</v>
      </c>
      <c r="D46" s="29" t="s">
        <v>650</v>
      </c>
      <c r="E46" s="29"/>
      <c r="F46" s="30" t="s">
        <v>705</v>
      </c>
      <c r="G46" s="31">
        <v>14</v>
      </c>
      <c r="H46" s="32" t="s">
        <v>135</v>
      </c>
      <c r="I46" s="33"/>
      <c r="J46" s="34"/>
      <c r="K46" s="35"/>
    </row>
    <row r="47" spans="1:11" x14ac:dyDescent="0.35">
      <c r="A47" s="29">
        <v>42</v>
      </c>
      <c r="B47" s="29" t="s">
        <v>440</v>
      </c>
      <c r="C47" s="30" t="s">
        <v>706</v>
      </c>
      <c r="D47" s="29" t="s">
        <v>140</v>
      </c>
      <c r="E47" s="29">
        <v>1</v>
      </c>
      <c r="F47" s="30" t="s">
        <v>707</v>
      </c>
      <c r="G47" s="31">
        <v>0.5</v>
      </c>
      <c r="H47" s="32" t="s">
        <v>135</v>
      </c>
      <c r="I47" s="33"/>
      <c r="J47" s="34"/>
      <c r="K47" s="35"/>
    </row>
    <row r="48" spans="1:11" x14ac:dyDescent="0.35">
      <c r="A48" s="29">
        <v>43</v>
      </c>
      <c r="B48" s="29" t="s">
        <v>440</v>
      </c>
      <c r="C48" s="30" t="s">
        <v>708</v>
      </c>
      <c r="D48" s="29" t="s">
        <v>140</v>
      </c>
      <c r="E48" s="29">
        <v>1</v>
      </c>
      <c r="F48" s="30" t="s">
        <v>709</v>
      </c>
      <c r="G48" s="31">
        <v>0.5</v>
      </c>
      <c r="H48" s="32" t="s">
        <v>135</v>
      </c>
      <c r="I48" s="33"/>
      <c r="J48" s="34"/>
      <c r="K48" s="35"/>
    </row>
    <row r="49" spans="1:11" x14ac:dyDescent="0.35">
      <c r="A49" s="29">
        <v>44</v>
      </c>
      <c r="B49" s="29" t="s">
        <v>440</v>
      </c>
      <c r="C49" s="30" t="s">
        <v>710</v>
      </c>
      <c r="D49" s="29" t="s">
        <v>140</v>
      </c>
      <c r="E49" s="29">
        <v>1</v>
      </c>
      <c r="F49" s="30" t="s">
        <v>711</v>
      </c>
      <c r="G49" s="31">
        <v>1</v>
      </c>
      <c r="H49" s="32" t="s">
        <v>135</v>
      </c>
      <c r="I49" s="33"/>
      <c r="J49" s="34"/>
      <c r="K49" s="35"/>
    </row>
    <row r="50" spans="1:11" x14ac:dyDescent="0.35">
      <c r="A50" s="29">
        <v>45</v>
      </c>
      <c r="B50" s="29" t="s">
        <v>440</v>
      </c>
      <c r="C50" s="30" t="s">
        <v>712</v>
      </c>
      <c r="D50" s="29" t="s">
        <v>140</v>
      </c>
      <c r="E50" s="29">
        <v>1</v>
      </c>
      <c r="F50" s="30" t="s">
        <v>713</v>
      </c>
      <c r="G50" s="31">
        <v>1</v>
      </c>
      <c r="H50" s="32" t="s">
        <v>135</v>
      </c>
      <c r="I50" s="33"/>
      <c r="J50" s="34"/>
      <c r="K50" s="35"/>
    </row>
    <row r="51" spans="1:11" x14ac:dyDescent="0.35">
      <c r="A51" s="29">
        <v>46</v>
      </c>
      <c r="B51" s="29" t="s">
        <v>440</v>
      </c>
      <c r="C51" s="30" t="s">
        <v>714</v>
      </c>
      <c r="D51" s="29" t="s">
        <v>140</v>
      </c>
      <c r="E51" s="29">
        <v>1</v>
      </c>
      <c r="F51" s="30" t="s">
        <v>715</v>
      </c>
      <c r="G51" s="31">
        <v>0.75</v>
      </c>
      <c r="H51" s="32" t="s">
        <v>135</v>
      </c>
      <c r="I51" s="33"/>
      <c r="J51" s="34"/>
      <c r="K51" s="35"/>
    </row>
    <row r="52" spans="1:11" x14ac:dyDescent="0.35">
      <c r="A52" s="29">
        <v>47</v>
      </c>
      <c r="B52" s="29" t="s">
        <v>440</v>
      </c>
      <c r="C52" s="30" t="s">
        <v>716</v>
      </c>
      <c r="D52" s="29" t="s">
        <v>140</v>
      </c>
      <c r="E52" s="29">
        <v>1</v>
      </c>
      <c r="F52" s="30" t="s">
        <v>717</v>
      </c>
      <c r="G52" s="31">
        <v>1.5</v>
      </c>
      <c r="H52" s="32" t="s">
        <v>135</v>
      </c>
      <c r="I52" s="33"/>
      <c r="J52" s="34"/>
      <c r="K52" s="35"/>
    </row>
    <row r="53" spans="1:11" ht="25" x14ac:dyDescent="0.35">
      <c r="A53" s="29">
        <v>48</v>
      </c>
      <c r="B53" s="29" t="s">
        <v>412</v>
      </c>
      <c r="C53" s="30" t="s">
        <v>413</v>
      </c>
      <c r="D53" s="29" t="s">
        <v>414</v>
      </c>
      <c r="E53" s="29"/>
      <c r="F53" s="30" t="s">
        <v>415</v>
      </c>
      <c r="G53" s="31">
        <v>10</v>
      </c>
      <c r="H53" s="32" t="s">
        <v>135</v>
      </c>
      <c r="I53" s="33"/>
      <c r="J53" s="34"/>
      <c r="K53" s="35"/>
    </row>
  </sheetData>
  <autoFilter ref="A5:K53" xr:uid="{00000000-0009-0000-0000-000005000000}"/>
  <mergeCells count="1">
    <mergeCell ref="A2:K2"/>
  </mergeCells>
  <conditionalFormatting sqref="A6:K53">
    <cfRule type="expression" dxfId="17" priority="2">
      <formula>$H6="Done"</formula>
    </cfRule>
    <cfRule type="expression" dxfId="16" priority="3">
      <formula>$H6="In progress"</formula>
    </cfRule>
    <cfRule type="expression" dxfId="15" priority="4">
      <formula>$H6="Skipped"</formula>
    </cfRule>
  </conditionalFormatting>
  <dataValidations count="1">
    <dataValidation type="list" allowBlank="1" errorTitle="Status" error="Pick a status from the list." sqref="H6:H500" xr:uid="{00000000-0002-0000-05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2"/>
  <sheetViews>
    <sheetView zoomScaleNormal="100" workbookViewId="0">
      <pane xSplit="3" ySplit="5" topLeftCell="D51" activePane="bottomRight" state="frozen"/>
      <selection pane="topRight" activeCell="D1" sqref="D1"/>
      <selection pane="bottomLeft" activeCell="A6" sqref="A6"/>
      <selection pane="bottomRight" activeCell="F21" sqref="F21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718</v>
      </c>
    </row>
    <row r="2" spans="1:11" ht="42" customHeight="1" x14ac:dyDescent="0.35">
      <c r="A2" s="37" t="s">
        <v>719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178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12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ht="25" x14ac:dyDescent="0.35">
      <c r="A6" s="29">
        <v>1</v>
      </c>
      <c r="B6" s="29" t="s">
        <v>132</v>
      </c>
      <c r="C6" s="30" t="s">
        <v>720</v>
      </c>
      <c r="D6" s="29" t="s">
        <v>132</v>
      </c>
      <c r="E6" s="29"/>
      <c r="F6" s="30" t="s">
        <v>721</v>
      </c>
      <c r="G6" s="31">
        <v>1</v>
      </c>
      <c r="H6" s="32" t="s">
        <v>135</v>
      </c>
      <c r="I6" s="33"/>
      <c r="J6" s="34"/>
      <c r="K6" s="35"/>
    </row>
    <row r="7" spans="1:11" ht="26" x14ac:dyDescent="0.35">
      <c r="A7" s="29">
        <v>2</v>
      </c>
      <c r="B7" s="29" t="s">
        <v>722</v>
      </c>
      <c r="C7" s="36" t="s">
        <v>723</v>
      </c>
      <c r="D7" s="29" t="s">
        <v>138</v>
      </c>
      <c r="E7" s="29"/>
      <c r="F7" s="30"/>
      <c r="G7" s="31">
        <v>2</v>
      </c>
      <c r="H7" s="32" t="s">
        <v>135</v>
      </c>
      <c r="I7" s="33"/>
      <c r="J7" s="34"/>
      <c r="K7" s="35"/>
    </row>
    <row r="8" spans="1:11" x14ac:dyDescent="0.35">
      <c r="A8" s="29">
        <v>3</v>
      </c>
      <c r="B8" s="29" t="s">
        <v>722</v>
      </c>
      <c r="C8" s="30" t="s">
        <v>724</v>
      </c>
      <c r="D8" s="29" t="s">
        <v>650</v>
      </c>
      <c r="E8" s="29"/>
      <c r="F8" s="30" t="s">
        <v>725</v>
      </c>
      <c r="G8" s="31">
        <v>8</v>
      </c>
      <c r="H8" s="32" t="s">
        <v>135</v>
      </c>
      <c r="I8" s="33"/>
      <c r="J8" s="34"/>
      <c r="K8" s="35"/>
    </row>
    <row r="9" spans="1:11" x14ac:dyDescent="0.35">
      <c r="A9" s="29">
        <v>4</v>
      </c>
      <c r="B9" s="29" t="s">
        <v>726</v>
      </c>
      <c r="C9" s="36" t="s">
        <v>727</v>
      </c>
      <c r="D9" s="29" t="s">
        <v>138</v>
      </c>
      <c r="E9" s="29"/>
      <c r="F9" s="30"/>
      <c r="G9" s="31">
        <v>2</v>
      </c>
      <c r="H9" s="32" t="s">
        <v>135</v>
      </c>
      <c r="I9" s="33"/>
      <c r="J9" s="34"/>
      <c r="K9" s="35"/>
    </row>
    <row r="10" spans="1:11" x14ac:dyDescent="0.35">
      <c r="A10" s="29">
        <v>5</v>
      </c>
      <c r="B10" s="29" t="s">
        <v>726</v>
      </c>
      <c r="C10" s="30" t="s">
        <v>728</v>
      </c>
      <c r="D10" s="29" t="s">
        <v>650</v>
      </c>
      <c r="E10" s="29"/>
      <c r="F10" s="30" t="s">
        <v>729</v>
      </c>
      <c r="G10" s="31">
        <v>12</v>
      </c>
      <c r="H10" s="32" t="s">
        <v>135</v>
      </c>
      <c r="I10" s="33"/>
      <c r="J10" s="34"/>
      <c r="K10" s="35"/>
    </row>
    <row r="11" spans="1:11" x14ac:dyDescent="0.35">
      <c r="A11" s="29">
        <v>6</v>
      </c>
      <c r="B11" s="29" t="s">
        <v>730</v>
      </c>
      <c r="C11" s="36" t="s">
        <v>731</v>
      </c>
      <c r="D11" s="29" t="s">
        <v>138</v>
      </c>
      <c r="E11" s="29"/>
      <c r="F11" s="30"/>
      <c r="G11" s="31">
        <v>1</v>
      </c>
      <c r="H11" s="32" t="s">
        <v>135</v>
      </c>
      <c r="I11" s="33"/>
      <c r="J11" s="34"/>
      <c r="K11" s="35"/>
    </row>
    <row r="12" spans="1:11" x14ac:dyDescent="0.35">
      <c r="A12" s="29">
        <v>7</v>
      </c>
      <c r="B12" s="29" t="s">
        <v>730</v>
      </c>
      <c r="C12" s="30" t="s">
        <v>732</v>
      </c>
      <c r="D12" s="29" t="s">
        <v>650</v>
      </c>
      <c r="E12" s="29"/>
      <c r="F12" s="30" t="s">
        <v>733</v>
      </c>
      <c r="G12" s="31">
        <v>3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734</v>
      </c>
      <c r="C13" s="36" t="s">
        <v>735</v>
      </c>
      <c r="D13" s="29" t="s">
        <v>138</v>
      </c>
      <c r="E13" s="29"/>
      <c r="F13" s="30"/>
      <c r="G13" s="31">
        <v>2</v>
      </c>
      <c r="H13" s="32" t="s">
        <v>135</v>
      </c>
      <c r="I13" s="33"/>
      <c r="J13" s="34"/>
      <c r="K13" s="35"/>
    </row>
    <row r="14" spans="1:11" x14ac:dyDescent="0.35">
      <c r="A14" s="29">
        <v>9</v>
      </c>
      <c r="B14" s="29" t="s">
        <v>734</v>
      </c>
      <c r="C14" s="30" t="s">
        <v>736</v>
      </c>
      <c r="D14" s="29" t="s">
        <v>650</v>
      </c>
      <c r="E14" s="29"/>
      <c r="F14" s="30" t="s">
        <v>737</v>
      </c>
      <c r="G14" s="31">
        <v>11</v>
      </c>
      <c r="H14" s="32" t="s">
        <v>135</v>
      </c>
      <c r="I14" s="33"/>
      <c r="J14" s="34"/>
      <c r="K14" s="35"/>
    </row>
    <row r="15" spans="1:11" ht="26" x14ac:dyDescent="0.35">
      <c r="A15" s="29">
        <v>10</v>
      </c>
      <c r="B15" s="29" t="s">
        <v>738</v>
      </c>
      <c r="C15" s="36" t="s">
        <v>739</v>
      </c>
      <c r="D15" s="29" t="s">
        <v>138</v>
      </c>
      <c r="E15" s="29"/>
      <c r="F15" s="30"/>
      <c r="G15" s="31">
        <v>2.5</v>
      </c>
      <c r="H15" s="32" t="s">
        <v>135</v>
      </c>
      <c r="I15" s="33"/>
      <c r="J15" s="34"/>
      <c r="K15" s="35"/>
    </row>
    <row r="16" spans="1:11" x14ac:dyDescent="0.35">
      <c r="A16" s="29">
        <v>11</v>
      </c>
      <c r="B16" s="29" t="s">
        <v>738</v>
      </c>
      <c r="C16" s="30" t="s">
        <v>740</v>
      </c>
      <c r="D16" s="29" t="s">
        <v>650</v>
      </c>
      <c r="E16" s="29"/>
      <c r="F16" s="30" t="s">
        <v>741</v>
      </c>
      <c r="G16" s="31">
        <v>16</v>
      </c>
      <c r="H16" s="32" t="s">
        <v>135</v>
      </c>
      <c r="I16" s="33"/>
      <c r="J16" s="34"/>
      <c r="K16" s="35"/>
    </row>
    <row r="17" spans="1:11" x14ac:dyDescent="0.35">
      <c r="A17" s="29">
        <v>12</v>
      </c>
      <c r="B17" s="29" t="s">
        <v>742</v>
      </c>
      <c r="C17" s="36" t="s">
        <v>743</v>
      </c>
      <c r="D17" s="29" t="s">
        <v>138</v>
      </c>
      <c r="E17" s="29"/>
      <c r="F17" s="30"/>
      <c r="G17" s="31">
        <v>2</v>
      </c>
      <c r="H17" s="32" t="s">
        <v>135</v>
      </c>
      <c r="I17" s="33"/>
      <c r="J17" s="34"/>
      <c r="K17" s="35"/>
    </row>
    <row r="18" spans="1:11" x14ac:dyDescent="0.35">
      <c r="A18" s="29">
        <v>13</v>
      </c>
      <c r="B18" s="29" t="s">
        <v>742</v>
      </c>
      <c r="C18" s="30" t="s">
        <v>744</v>
      </c>
      <c r="D18" s="29" t="s">
        <v>650</v>
      </c>
      <c r="E18" s="29"/>
      <c r="F18" s="30" t="s">
        <v>745</v>
      </c>
      <c r="G18" s="31">
        <v>13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746</v>
      </c>
      <c r="C19" s="30" t="s">
        <v>747</v>
      </c>
      <c r="D19" s="29" t="s">
        <v>132</v>
      </c>
      <c r="E19" s="29"/>
      <c r="F19" s="30" t="s">
        <v>748</v>
      </c>
      <c r="G19" s="31">
        <v>4</v>
      </c>
      <c r="H19" s="32" t="s">
        <v>135</v>
      </c>
      <c r="I19" s="33"/>
      <c r="J19" s="34"/>
      <c r="K19" s="35"/>
    </row>
    <row r="20" spans="1:11" x14ac:dyDescent="0.35">
      <c r="A20" s="29">
        <v>15</v>
      </c>
      <c r="B20" s="29" t="s">
        <v>749</v>
      </c>
      <c r="C20" s="36" t="s">
        <v>750</v>
      </c>
      <c r="D20" s="29" t="s">
        <v>138</v>
      </c>
      <c r="E20" s="29"/>
      <c r="F20" s="30" t="s">
        <v>751</v>
      </c>
      <c r="G20" s="31">
        <v>0.5</v>
      </c>
      <c r="H20" s="32" t="s">
        <v>135</v>
      </c>
      <c r="I20" s="33"/>
      <c r="J20" s="34"/>
      <c r="K20" s="35"/>
    </row>
    <row r="21" spans="1:11" x14ac:dyDescent="0.35">
      <c r="A21" s="29">
        <v>16</v>
      </c>
      <c r="B21" s="29" t="s">
        <v>752</v>
      </c>
      <c r="C21" s="36" t="s">
        <v>753</v>
      </c>
      <c r="D21" s="29" t="s">
        <v>138</v>
      </c>
      <c r="E21" s="29"/>
      <c r="F21" s="30" t="s">
        <v>754</v>
      </c>
      <c r="G21" s="31">
        <v>1</v>
      </c>
      <c r="H21" s="32" t="s">
        <v>135</v>
      </c>
      <c r="I21" s="33"/>
      <c r="J21" s="34"/>
      <c r="K21" s="35"/>
    </row>
    <row r="22" spans="1:11" x14ac:dyDescent="0.35">
      <c r="A22" s="29">
        <v>17</v>
      </c>
      <c r="B22" s="29" t="s">
        <v>755</v>
      </c>
      <c r="C22" s="36" t="s">
        <v>756</v>
      </c>
      <c r="D22" s="29" t="s">
        <v>138</v>
      </c>
      <c r="E22" s="29"/>
      <c r="F22" s="30" t="s">
        <v>754</v>
      </c>
      <c r="G22" s="31">
        <v>1</v>
      </c>
      <c r="H22" s="32" t="s">
        <v>135</v>
      </c>
      <c r="I22" s="33"/>
      <c r="J22" s="34"/>
      <c r="K22" s="35"/>
    </row>
    <row r="23" spans="1:11" ht="25" x14ac:dyDescent="0.35">
      <c r="A23" s="29">
        <v>18</v>
      </c>
      <c r="B23" s="29" t="s">
        <v>757</v>
      </c>
      <c r="C23" s="36" t="s">
        <v>758</v>
      </c>
      <c r="D23" s="29" t="s">
        <v>138</v>
      </c>
      <c r="E23" s="29"/>
      <c r="F23" s="30" t="s">
        <v>759</v>
      </c>
      <c r="G23" s="31">
        <v>1</v>
      </c>
      <c r="H23" s="32" t="s">
        <v>135</v>
      </c>
      <c r="I23" s="33"/>
      <c r="J23" s="34"/>
      <c r="K23" s="35"/>
    </row>
    <row r="24" spans="1:11" x14ac:dyDescent="0.35">
      <c r="A24" s="29">
        <v>19</v>
      </c>
      <c r="B24" s="29" t="s">
        <v>760</v>
      </c>
      <c r="C24" s="36" t="s">
        <v>761</v>
      </c>
      <c r="D24" s="29" t="s">
        <v>138</v>
      </c>
      <c r="E24" s="29"/>
      <c r="F24" s="30" t="s">
        <v>762</v>
      </c>
      <c r="G24" s="31">
        <v>3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760</v>
      </c>
      <c r="C25" s="30" t="s">
        <v>763</v>
      </c>
      <c r="D25" s="29" t="s">
        <v>140</v>
      </c>
      <c r="E25" s="29">
        <v>1</v>
      </c>
      <c r="F25" s="30" t="s">
        <v>764</v>
      </c>
      <c r="G25" s="31">
        <v>1</v>
      </c>
      <c r="H25" s="32" t="s">
        <v>135</v>
      </c>
      <c r="I25" s="33"/>
      <c r="J25" s="34"/>
      <c r="K25" s="35"/>
    </row>
    <row r="26" spans="1:11" x14ac:dyDescent="0.35">
      <c r="A26" s="29">
        <v>21</v>
      </c>
      <c r="B26" s="29" t="s">
        <v>765</v>
      </c>
      <c r="C26" s="36" t="s">
        <v>766</v>
      </c>
      <c r="D26" s="29" t="s">
        <v>138</v>
      </c>
      <c r="E26" s="29"/>
      <c r="F26" s="30" t="s">
        <v>762</v>
      </c>
      <c r="G26" s="31">
        <v>3</v>
      </c>
      <c r="H26" s="32" t="s">
        <v>135</v>
      </c>
      <c r="I26" s="33"/>
      <c r="J26" s="34"/>
      <c r="K26" s="35"/>
    </row>
    <row r="27" spans="1:11" x14ac:dyDescent="0.35">
      <c r="A27" s="29">
        <v>22</v>
      </c>
      <c r="B27" s="29" t="s">
        <v>765</v>
      </c>
      <c r="C27" s="30" t="s">
        <v>767</v>
      </c>
      <c r="D27" s="29" t="s">
        <v>140</v>
      </c>
      <c r="E27" s="29">
        <v>1</v>
      </c>
      <c r="F27" s="30" t="s">
        <v>768</v>
      </c>
      <c r="G27" s="31">
        <v>1.5</v>
      </c>
      <c r="H27" s="32" t="s">
        <v>135</v>
      </c>
      <c r="I27" s="33"/>
      <c r="J27" s="34"/>
      <c r="K27" s="35"/>
    </row>
    <row r="28" spans="1:11" x14ac:dyDescent="0.35">
      <c r="A28" s="29">
        <v>23</v>
      </c>
      <c r="B28" s="29" t="s">
        <v>769</v>
      </c>
      <c r="C28" s="36" t="s">
        <v>770</v>
      </c>
      <c r="D28" s="29" t="s">
        <v>138</v>
      </c>
      <c r="E28" s="29"/>
      <c r="F28" s="30" t="s">
        <v>762</v>
      </c>
      <c r="G28" s="31">
        <v>2.5</v>
      </c>
      <c r="H28" s="32" t="s">
        <v>135</v>
      </c>
      <c r="I28" s="33"/>
      <c r="J28" s="34"/>
      <c r="K28" s="35"/>
    </row>
    <row r="29" spans="1:11" x14ac:dyDescent="0.35">
      <c r="A29" s="29">
        <v>24</v>
      </c>
      <c r="B29" s="29" t="s">
        <v>771</v>
      </c>
      <c r="C29" s="36" t="s">
        <v>772</v>
      </c>
      <c r="D29" s="29" t="s">
        <v>138</v>
      </c>
      <c r="E29" s="29"/>
      <c r="F29" s="30" t="s">
        <v>762</v>
      </c>
      <c r="G29" s="31">
        <v>3</v>
      </c>
      <c r="H29" s="32" t="s">
        <v>135</v>
      </c>
      <c r="I29" s="33"/>
      <c r="J29" s="34"/>
      <c r="K29" s="35"/>
    </row>
    <row r="30" spans="1:11" x14ac:dyDescent="0.35">
      <c r="A30" s="29">
        <v>25</v>
      </c>
      <c r="B30" s="29" t="s">
        <v>771</v>
      </c>
      <c r="C30" s="30" t="s">
        <v>773</v>
      </c>
      <c r="D30" s="29" t="s">
        <v>140</v>
      </c>
      <c r="E30" s="29">
        <v>1</v>
      </c>
      <c r="F30" s="30" t="s">
        <v>774</v>
      </c>
      <c r="G30" s="31">
        <v>1</v>
      </c>
      <c r="H30" s="32" t="s">
        <v>135</v>
      </c>
      <c r="I30" s="33"/>
      <c r="J30" s="34"/>
      <c r="K30" s="35"/>
    </row>
    <row r="31" spans="1:11" x14ac:dyDescent="0.35">
      <c r="A31" s="29">
        <v>26</v>
      </c>
      <c r="B31" s="29" t="s">
        <v>775</v>
      </c>
      <c r="C31" s="36" t="s">
        <v>776</v>
      </c>
      <c r="D31" s="29" t="s">
        <v>138</v>
      </c>
      <c r="E31" s="29"/>
      <c r="F31" s="30" t="s">
        <v>762</v>
      </c>
      <c r="G31" s="31">
        <v>2</v>
      </c>
      <c r="H31" s="32" t="s">
        <v>135</v>
      </c>
      <c r="I31" s="33"/>
      <c r="J31" s="34"/>
      <c r="K31" s="35"/>
    </row>
    <row r="32" spans="1:11" x14ac:dyDescent="0.35">
      <c r="A32" s="29">
        <v>27</v>
      </c>
      <c r="B32" s="29" t="s">
        <v>775</v>
      </c>
      <c r="C32" s="30" t="s">
        <v>777</v>
      </c>
      <c r="D32" s="29" t="s">
        <v>140</v>
      </c>
      <c r="E32" s="29">
        <v>1</v>
      </c>
      <c r="F32" s="30" t="s">
        <v>778</v>
      </c>
      <c r="G32" s="31">
        <v>1.5</v>
      </c>
      <c r="H32" s="32" t="s">
        <v>135</v>
      </c>
      <c r="I32" s="33"/>
      <c r="J32" s="34"/>
      <c r="K32" s="35"/>
    </row>
    <row r="33" spans="1:11" x14ac:dyDescent="0.35">
      <c r="A33" s="29">
        <v>28</v>
      </c>
      <c r="B33" s="29" t="s">
        <v>779</v>
      </c>
      <c r="C33" s="36" t="s">
        <v>780</v>
      </c>
      <c r="D33" s="29" t="s">
        <v>138</v>
      </c>
      <c r="E33" s="29"/>
      <c r="F33" s="30" t="s">
        <v>762</v>
      </c>
      <c r="G33" s="31">
        <v>3</v>
      </c>
      <c r="H33" s="32" t="s">
        <v>135</v>
      </c>
      <c r="I33" s="33"/>
      <c r="J33" s="34"/>
      <c r="K33" s="35"/>
    </row>
    <row r="34" spans="1:11" x14ac:dyDescent="0.35">
      <c r="A34" s="29">
        <v>29</v>
      </c>
      <c r="B34" s="29" t="s">
        <v>779</v>
      </c>
      <c r="C34" s="30" t="s">
        <v>781</v>
      </c>
      <c r="D34" s="29" t="s">
        <v>140</v>
      </c>
      <c r="E34" s="29">
        <v>1</v>
      </c>
      <c r="F34" s="30" t="s">
        <v>782</v>
      </c>
      <c r="G34" s="31">
        <v>2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783</v>
      </c>
      <c r="C35" s="36" t="s">
        <v>784</v>
      </c>
      <c r="D35" s="29" t="s">
        <v>138</v>
      </c>
      <c r="E35" s="29"/>
      <c r="F35" s="30" t="s">
        <v>762</v>
      </c>
      <c r="G35" s="31">
        <v>3</v>
      </c>
      <c r="H35" s="32" t="s">
        <v>135</v>
      </c>
      <c r="I35" s="33"/>
      <c r="J35" s="34"/>
      <c r="K35" s="35"/>
    </row>
    <row r="36" spans="1:11" x14ac:dyDescent="0.35">
      <c r="A36" s="29">
        <v>31</v>
      </c>
      <c r="B36" s="29" t="s">
        <v>783</v>
      </c>
      <c r="C36" s="30" t="s">
        <v>785</v>
      </c>
      <c r="D36" s="29" t="s">
        <v>140</v>
      </c>
      <c r="E36" s="29">
        <v>1</v>
      </c>
      <c r="F36" s="30" t="s">
        <v>786</v>
      </c>
      <c r="G36" s="31">
        <v>1.5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787</v>
      </c>
      <c r="C37" s="36" t="s">
        <v>788</v>
      </c>
      <c r="D37" s="29" t="s">
        <v>138</v>
      </c>
      <c r="E37" s="29"/>
      <c r="F37" s="30" t="s">
        <v>762</v>
      </c>
      <c r="G37" s="31">
        <v>3</v>
      </c>
      <c r="H37" s="32" t="s">
        <v>135</v>
      </c>
      <c r="I37" s="33"/>
      <c r="J37" s="34"/>
      <c r="K37" s="35"/>
    </row>
    <row r="38" spans="1:11" x14ac:dyDescent="0.35">
      <c r="A38" s="29">
        <v>33</v>
      </c>
      <c r="B38" s="29" t="s">
        <v>787</v>
      </c>
      <c r="C38" s="30" t="s">
        <v>789</v>
      </c>
      <c r="D38" s="29" t="s">
        <v>140</v>
      </c>
      <c r="E38" s="29">
        <v>1</v>
      </c>
      <c r="F38" s="30" t="s">
        <v>790</v>
      </c>
      <c r="G38" s="31">
        <v>1.5</v>
      </c>
      <c r="H38" s="32" t="s">
        <v>135</v>
      </c>
      <c r="I38" s="33"/>
      <c r="J38" s="34"/>
      <c r="K38" s="35"/>
    </row>
    <row r="39" spans="1:11" x14ac:dyDescent="0.35">
      <c r="A39" s="29">
        <v>34</v>
      </c>
      <c r="B39" s="29" t="s">
        <v>791</v>
      </c>
      <c r="C39" s="36" t="s">
        <v>792</v>
      </c>
      <c r="D39" s="29" t="s">
        <v>138</v>
      </c>
      <c r="E39" s="29"/>
      <c r="F39" s="30" t="s">
        <v>762</v>
      </c>
      <c r="G39" s="31">
        <v>2</v>
      </c>
      <c r="H39" s="32" t="s">
        <v>135</v>
      </c>
      <c r="I39" s="33"/>
      <c r="J39" s="34"/>
      <c r="K39" s="35"/>
    </row>
    <row r="40" spans="1:11" x14ac:dyDescent="0.35">
      <c r="A40" s="29">
        <v>35</v>
      </c>
      <c r="B40" s="29" t="s">
        <v>791</v>
      </c>
      <c r="C40" s="30" t="s">
        <v>793</v>
      </c>
      <c r="D40" s="29" t="s">
        <v>140</v>
      </c>
      <c r="E40" s="29">
        <v>1</v>
      </c>
      <c r="F40" s="30" t="s">
        <v>794</v>
      </c>
      <c r="G40" s="31">
        <v>2.5</v>
      </c>
      <c r="H40" s="32" t="s">
        <v>135</v>
      </c>
      <c r="I40" s="33"/>
      <c r="J40" s="34"/>
      <c r="K40" s="35"/>
    </row>
    <row r="41" spans="1:11" x14ac:dyDescent="0.35">
      <c r="A41" s="29">
        <v>36</v>
      </c>
      <c r="B41" s="29" t="s">
        <v>795</v>
      </c>
      <c r="C41" s="36" t="s">
        <v>796</v>
      </c>
      <c r="D41" s="29" t="s">
        <v>138</v>
      </c>
      <c r="E41" s="29"/>
      <c r="F41" s="30" t="s">
        <v>797</v>
      </c>
      <c r="G41" s="31">
        <v>2.5</v>
      </c>
      <c r="H41" s="32" t="s">
        <v>135</v>
      </c>
      <c r="I41" s="33"/>
      <c r="J41" s="34"/>
      <c r="K41" s="35"/>
    </row>
    <row r="42" spans="1:11" ht="25" x14ac:dyDescent="0.35">
      <c r="A42" s="29">
        <v>37</v>
      </c>
      <c r="B42" s="29" t="s">
        <v>795</v>
      </c>
      <c r="C42" s="30" t="s">
        <v>798</v>
      </c>
      <c r="D42" s="29" t="s">
        <v>140</v>
      </c>
      <c r="E42" s="29">
        <v>1</v>
      </c>
      <c r="F42" s="30" t="s">
        <v>799</v>
      </c>
      <c r="G42" s="31">
        <v>1.5</v>
      </c>
      <c r="H42" s="32" t="s">
        <v>135</v>
      </c>
      <c r="I42" s="33"/>
      <c r="J42" s="34"/>
      <c r="K42" s="35"/>
    </row>
    <row r="43" spans="1:11" x14ac:dyDescent="0.35">
      <c r="A43" s="29">
        <v>38</v>
      </c>
      <c r="B43" s="29" t="s">
        <v>800</v>
      </c>
      <c r="C43" s="36" t="s">
        <v>801</v>
      </c>
      <c r="D43" s="29" t="s">
        <v>138</v>
      </c>
      <c r="E43" s="29"/>
      <c r="F43" s="30" t="s">
        <v>797</v>
      </c>
      <c r="G43" s="31">
        <v>2.5</v>
      </c>
      <c r="H43" s="32" t="s">
        <v>135</v>
      </c>
      <c r="I43" s="33"/>
      <c r="J43" s="34"/>
      <c r="K43" s="35"/>
    </row>
    <row r="44" spans="1:11" ht="25" x14ac:dyDescent="0.35">
      <c r="A44" s="29">
        <v>39</v>
      </c>
      <c r="B44" s="29" t="s">
        <v>802</v>
      </c>
      <c r="C44" s="36" t="s">
        <v>803</v>
      </c>
      <c r="D44" s="29" t="s">
        <v>138</v>
      </c>
      <c r="E44" s="29"/>
      <c r="F44" s="30" t="s">
        <v>759</v>
      </c>
      <c r="G44" s="31">
        <v>1</v>
      </c>
      <c r="H44" s="32" t="s">
        <v>135</v>
      </c>
      <c r="I44" s="33"/>
      <c r="J44" s="34"/>
      <c r="K44" s="35"/>
    </row>
    <row r="45" spans="1:11" x14ac:dyDescent="0.35">
      <c r="A45" s="29">
        <v>40</v>
      </c>
      <c r="B45" s="29" t="s">
        <v>804</v>
      </c>
      <c r="C45" s="36" t="s">
        <v>805</v>
      </c>
      <c r="D45" s="29" t="s">
        <v>138</v>
      </c>
      <c r="E45" s="29"/>
      <c r="F45" s="30" t="s">
        <v>797</v>
      </c>
      <c r="G45" s="31">
        <v>4</v>
      </c>
      <c r="H45" s="32" t="s">
        <v>135</v>
      </c>
      <c r="I45" s="33"/>
      <c r="J45" s="34"/>
      <c r="K45" s="35"/>
    </row>
    <row r="46" spans="1:11" x14ac:dyDescent="0.35">
      <c r="A46" s="29">
        <v>41</v>
      </c>
      <c r="B46" s="29" t="s">
        <v>806</v>
      </c>
      <c r="C46" s="36" t="s">
        <v>807</v>
      </c>
      <c r="D46" s="29" t="s">
        <v>138</v>
      </c>
      <c r="E46" s="29"/>
      <c r="F46" s="30" t="s">
        <v>797</v>
      </c>
      <c r="G46" s="31">
        <v>2</v>
      </c>
      <c r="H46" s="32" t="s">
        <v>135</v>
      </c>
      <c r="I46" s="33"/>
      <c r="J46" s="34"/>
      <c r="K46" s="35"/>
    </row>
    <row r="47" spans="1:11" x14ac:dyDescent="0.35">
      <c r="A47" s="29">
        <v>42</v>
      </c>
      <c r="B47" s="29" t="s">
        <v>808</v>
      </c>
      <c r="C47" s="36" t="s">
        <v>809</v>
      </c>
      <c r="D47" s="29" t="s">
        <v>138</v>
      </c>
      <c r="E47" s="29"/>
      <c r="F47" s="30" t="s">
        <v>797</v>
      </c>
      <c r="G47" s="31">
        <v>2.5</v>
      </c>
      <c r="H47" s="32" t="s">
        <v>135</v>
      </c>
      <c r="I47" s="33"/>
      <c r="J47" s="34"/>
      <c r="K47" s="35"/>
    </row>
    <row r="48" spans="1:11" x14ac:dyDescent="0.35">
      <c r="A48" s="29">
        <v>43</v>
      </c>
      <c r="B48" s="29" t="s">
        <v>808</v>
      </c>
      <c r="C48" s="30" t="s">
        <v>810</v>
      </c>
      <c r="D48" s="29" t="s">
        <v>140</v>
      </c>
      <c r="E48" s="29">
        <v>1</v>
      </c>
      <c r="F48" s="30" t="s">
        <v>811</v>
      </c>
      <c r="G48" s="31">
        <v>1.5</v>
      </c>
      <c r="H48" s="32" t="s">
        <v>135</v>
      </c>
      <c r="I48" s="33"/>
      <c r="J48" s="34"/>
      <c r="K48" s="35"/>
    </row>
    <row r="49" spans="1:11" x14ac:dyDescent="0.35">
      <c r="A49" s="29">
        <v>44</v>
      </c>
      <c r="B49" s="29" t="s">
        <v>812</v>
      </c>
      <c r="C49" s="36" t="s">
        <v>813</v>
      </c>
      <c r="D49" s="29" t="s">
        <v>138</v>
      </c>
      <c r="E49" s="29"/>
      <c r="F49" s="30" t="s">
        <v>797</v>
      </c>
      <c r="G49" s="31">
        <v>3</v>
      </c>
      <c r="H49" s="32" t="s">
        <v>135</v>
      </c>
      <c r="I49" s="33"/>
      <c r="J49" s="34"/>
      <c r="K49" s="35"/>
    </row>
    <row r="50" spans="1:11" x14ac:dyDescent="0.35">
      <c r="A50" s="29">
        <v>45</v>
      </c>
      <c r="B50" s="29" t="s">
        <v>814</v>
      </c>
      <c r="C50" s="36" t="s">
        <v>815</v>
      </c>
      <c r="D50" s="29" t="s">
        <v>138</v>
      </c>
      <c r="E50" s="29"/>
      <c r="F50" s="30" t="s">
        <v>797</v>
      </c>
      <c r="G50" s="31">
        <v>2</v>
      </c>
      <c r="H50" s="32" t="s">
        <v>135</v>
      </c>
      <c r="I50" s="33"/>
      <c r="J50" s="34"/>
      <c r="K50" s="35"/>
    </row>
    <row r="51" spans="1:11" ht="25" x14ac:dyDescent="0.35">
      <c r="A51" s="29">
        <v>46</v>
      </c>
      <c r="B51" s="29" t="s">
        <v>816</v>
      </c>
      <c r="C51" s="36" t="s">
        <v>817</v>
      </c>
      <c r="D51" s="29" t="s">
        <v>138</v>
      </c>
      <c r="E51" s="29"/>
      <c r="F51" s="30" t="s">
        <v>818</v>
      </c>
      <c r="G51" s="31">
        <v>1</v>
      </c>
      <c r="H51" s="32" t="s">
        <v>135</v>
      </c>
      <c r="I51" s="33"/>
      <c r="J51" s="34"/>
      <c r="K51" s="35"/>
    </row>
    <row r="52" spans="1:11" ht="25" x14ac:dyDescent="0.35">
      <c r="A52" s="29">
        <v>47</v>
      </c>
      <c r="B52" s="29" t="s">
        <v>819</v>
      </c>
      <c r="C52" s="36" t="s">
        <v>820</v>
      </c>
      <c r="D52" s="29" t="s">
        <v>138</v>
      </c>
      <c r="E52" s="29"/>
      <c r="F52" s="30" t="s">
        <v>821</v>
      </c>
      <c r="G52" s="31">
        <v>1</v>
      </c>
      <c r="H52" s="32" t="s">
        <v>135</v>
      </c>
      <c r="I52" s="33"/>
      <c r="J52" s="34"/>
      <c r="K52" s="35"/>
    </row>
    <row r="53" spans="1:11" ht="25" x14ac:dyDescent="0.35">
      <c r="A53" s="29">
        <v>48</v>
      </c>
      <c r="B53" s="29" t="s">
        <v>822</v>
      </c>
      <c r="C53" s="36" t="s">
        <v>823</v>
      </c>
      <c r="D53" s="29" t="s">
        <v>138</v>
      </c>
      <c r="E53" s="29"/>
      <c r="F53" s="30" t="s">
        <v>824</v>
      </c>
      <c r="G53" s="31">
        <v>1.5</v>
      </c>
      <c r="H53" s="32" t="s">
        <v>135</v>
      </c>
      <c r="I53" s="33"/>
      <c r="J53" s="34"/>
      <c r="K53" s="35"/>
    </row>
    <row r="54" spans="1:11" x14ac:dyDescent="0.35">
      <c r="A54" s="29">
        <v>49</v>
      </c>
      <c r="B54" s="29" t="s">
        <v>825</v>
      </c>
      <c r="C54" s="36" t="s">
        <v>826</v>
      </c>
      <c r="D54" s="29" t="s">
        <v>138</v>
      </c>
      <c r="E54" s="29"/>
      <c r="F54" s="30" t="s">
        <v>797</v>
      </c>
      <c r="G54" s="31">
        <v>4.5</v>
      </c>
      <c r="H54" s="32" t="s">
        <v>135</v>
      </c>
      <c r="I54" s="33"/>
      <c r="J54" s="34"/>
      <c r="K54" s="35"/>
    </row>
    <row r="55" spans="1:11" ht="25" x14ac:dyDescent="0.35">
      <c r="A55" s="29">
        <v>50</v>
      </c>
      <c r="B55" s="29" t="s">
        <v>825</v>
      </c>
      <c r="C55" s="30" t="s">
        <v>827</v>
      </c>
      <c r="D55" s="29" t="s">
        <v>140</v>
      </c>
      <c r="E55" s="29">
        <v>1</v>
      </c>
      <c r="F55" s="30" t="s">
        <v>828</v>
      </c>
      <c r="G55" s="31">
        <v>2</v>
      </c>
      <c r="H55" s="32" t="s">
        <v>135</v>
      </c>
      <c r="I55" s="33"/>
      <c r="J55" s="34"/>
      <c r="K55" s="35"/>
    </row>
    <row r="56" spans="1:11" x14ac:dyDescent="0.35">
      <c r="A56" s="29">
        <v>51</v>
      </c>
      <c r="B56" s="29" t="s">
        <v>829</v>
      </c>
      <c r="C56" s="36" t="s">
        <v>830</v>
      </c>
      <c r="D56" s="29" t="s">
        <v>138</v>
      </c>
      <c r="E56" s="29"/>
      <c r="F56" s="30" t="s">
        <v>797</v>
      </c>
      <c r="G56" s="31">
        <v>4</v>
      </c>
      <c r="H56" s="32" t="s">
        <v>135</v>
      </c>
      <c r="I56" s="33"/>
      <c r="J56" s="34"/>
      <c r="K56" s="35"/>
    </row>
    <row r="57" spans="1:11" x14ac:dyDescent="0.35">
      <c r="A57" s="29">
        <v>52</v>
      </c>
      <c r="B57" s="29" t="s">
        <v>829</v>
      </c>
      <c r="C57" s="30" t="s">
        <v>831</v>
      </c>
      <c r="D57" s="29" t="s">
        <v>140</v>
      </c>
      <c r="E57" s="29">
        <v>1</v>
      </c>
      <c r="F57" s="30" t="s">
        <v>832</v>
      </c>
      <c r="G57" s="31">
        <v>1.5</v>
      </c>
      <c r="H57" s="32" t="s">
        <v>135</v>
      </c>
      <c r="I57" s="33"/>
      <c r="J57" s="34"/>
      <c r="K57" s="35"/>
    </row>
    <row r="58" spans="1:11" x14ac:dyDescent="0.35">
      <c r="A58" s="29">
        <v>53</v>
      </c>
      <c r="B58" s="29" t="s">
        <v>833</v>
      </c>
      <c r="C58" s="36" t="s">
        <v>834</v>
      </c>
      <c r="D58" s="29" t="s">
        <v>138</v>
      </c>
      <c r="E58" s="29"/>
      <c r="F58" s="30" t="s">
        <v>797</v>
      </c>
      <c r="G58" s="31">
        <v>2</v>
      </c>
      <c r="H58" s="32" t="s">
        <v>135</v>
      </c>
      <c r="I58" s="33"/>
      <c r="J58" s="34"/>
      <c r="K58" s="35"/>
    </row>
    <row r="59" spans="1:11" x14ac:dyDescent="0.35">
      <c r="A59" s="29">
        <v>54</v>
      </c>
      <c r="B59" s="29" t="s">
        <v>835</v>
      </c>
      <c r="C59" s="36" t="s">
        <v>836</v>
      </c>
      <c r="D59" s="29" t="s">
        <v>138</v>
      </c>
      <c r="E59" s="29"/>
      <c r="F59" s="30" t="s">
        <v>797</v>
      </c>
      <c r="G59" s="31">
        <v>3</v>
      </c>
      <c r="H59" s="32" t="s">
        <v>135</v>
      </c>
      <c r="I59" s="33"/>
      <c r="J59" s="34"/>
      <c r="K59" s="35"/>
    </row>
    <row r="60" spans="1:11" x14ac:dyDescent="0.35">
      <c r="A60" s="29">
        <v>55</v>
      </c>
      <c r="B60" s="29" t="s">
        <v>837</v>
      </c>
      <c r="C60" s="36" t="s">
        <v>838</v>
      </c>
      <c r="D60" s="29" t="s">
        <v>138</v>
      </c>
      <c r="E60" s="29"/>
      <c r="F60" s="30" t="s">
        <v>797</v>
      </c>
      <c r="G60" s="31">
        <v>2</v>
      </c>
      <c r="H60" s="32" t="s">
        <v>135</v>
      </c>
      <c r="I60" s="33"/>
      <c r="J60" s="34"/>
      <c r="K60" s="35"/>
    </row>
    <row r="61" spans="1:11" x14ac:dyDescent="0.35">
      <c r="A61" s="29">
        <v>56</v>
      </c>
      <c r="B61" s="29" t="s">
        <v>839</v>
      </c>
      <c r="C61" s="36" t="s">
        <v>840</v>
      </c>
      <c r="D61" s="29" t="s">
        <v>138</v>
      </c>
      <c r="E61" s="29"/>
      <c r="F61" s="30" t="s">
        <v>797</v>
      </c>
      <c r="G61" s="31">
        <v>3</v>
      </c>
      <c r="H61" s="32" t="s">
        <v>135</v>
      </c>
      <c r="I61" s="33"/>
      <c r="J61" s="34"/>
      <c r="K61" s="35"/>
    </row>
    <row r="62" spans="1:11" ht="25" x14ac:dyDescent="0.35">
      <c r="A62" s="29">
        <v>57</v>
      </c>
      <c r="B62" s="29" t="s">
        <v>412</v>
      </c>
      <c r="C62" s="30" t="s">
        <v>413</v>
      </c>
      <c r="D62" s="29" t="s">
        <v>414</v>
      </c>
      <c r="E62" s="29"/>
      <c r="F62" s="30" t="s">
        <v>415</v>
      </c>
      <c r="G62" s="31">
        <v>10</v>
      </c>
      <c r="H62" s="32" t="s">
        <v>135</v>
      </c>
      <c r="I62" s="33"/>
      <c r="J62" s="34"/>
      <c r="K62" s="35"/>
    </row>
  </sheetData>
  <autoFilter ref="A5:K62" xr:uid="{00000000-0009-0000-0000-000006000000}"/>
  <mergeCells count="1">
    <mergeCell ref="A2:K2"/>
  </mergeCells>
  <conditionalFormatting sqref="A6:K62">
    <cfRule type="expression" dxfId="14" priority="2">
      <formula>$H6="Done"</formula>
    </cfRule>
    <cfRule type="expression" dxfId="13" priority="3">
      <formula>$H6="In progress"</formula>
    </cfRule>
    <cfRule type="expression" dxfId="12" priority="4">
      <formula>$H6="Skipped"</formula>
    </cfRule>
  </conditionalFormatting>
  <dataValidations count="1">
    <dataValidation type="list" allowBlank="1" errorTitle="Status" error="Pick a status from the list." sqref="H6:H500" xr:uid="{00000000-0002-0000-06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8"/>
  <sheetViews>
    <sheetView zoomScaleNormal="100" workbookViewId="0">
      <pane xSplit="3" ySplit="5" topLeftCell="D31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841</v>
      </c>
    </row>
    <row r="2" spans="1:11" ht="42" customHeight="1" x14ac:dyDescent="0.35">
      <c r="A2" s="37" t="s">
        <v>842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168.5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26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ht="25" x14ac:dyDescent="0.35">
      <c r="A6" s="29">
        <v>1</v>
      </c>
      <c r="B6" s="29" t="s">
        <v>132</v>
      </c>
      <c r="C6" s="30" t="s">
        <v>843</v>
      </c>
      <c r="D6" s="29" t="s">
        <v>132</v>
      </c>
      <c r="E6" s="29"/>
      <c r="F6" s="30" t="s">
        <v>844</v>
      </c>
      <c r="G6" s="31">
        <v>1</v>
      </c>
      <c r="H6" s="32" t="s">
        <v>135</v>
      </c>
      <c r="I6" s="33"/>
      <c r="J6" s="34"/>
      <c r="K6" s="35"/>
    </row>
    <row r="7" spans="1:11" x14ac:dyDescent="0.35">
      <c r="A7" s="29">
        <v>2</v>
      </c>
      <c r="B7" s="29" t="s">
        <v>845</v>
      </c>
      <c r="C7" s="36" t="s">
        <v>846</v>
      </c>
      <c r="D7" s="29" t="s">
        <v>138</v>
      </c>
      <c r="E7" s="29"/>
      <c r="F7" s="30"/>
      <c r="G7" s="31">
        <v>1</v>
      </c>
      <c r="H7" s="32" t="s">
        <v>135</v>
      </c>
      <c r="I7" s="33"/>
      <c r="J7" s="34"/>
      <c r="K7" s="35"/>
    </row>
    <row r="8" spans="1:11" x14ac:dyDescent="0.35">
      <c r="A8" s="29">
        <v>3</v>
      </c>
      <c r="B8" s="29" t="s">
        <v>847</v>
      </c>
      <c r="C8" s="36" t="s">
        <v>848</v>
      </c>
      <c r="D8" s="29" t="s">
        <v>138</v>
      </c>
      <c r="E8" s="29"/>
      <c r="F8" s="30"/>
      <c r="G8" s="31">
        <v>7</v>
      </c>
      <c r="H8" s="32" t="s">
        <v>135</v>
      </c>
      <c r="I8" s="33"/>
      <c r="J8" s="34"/>
      <c r="K8" s="35"/>
    </row>
    <row r="9" spans="1:11" x14ac:dyDescent="0.35">
      <c r="A9" s="29">
        <v>4</v>
      </c>
      <c r="B9" s="29" t="s">
        <v>432</v>
      </c>
      <c r="C9" s="30" t="s">
        <v>849</v>
      </c>
      <c r="D9" s="29" t="s">
        <v>140</v>
      </c>
      <c r="E9" s="29">
        <v>1</v>
      </c>
      <c r="F9" s="30" t="s">
        <v>850</v>
      </c>
      <c r="G9" s="31">
        <v>1</v>
      </c>
      <c r="H9" s="32" t="s">
        <v>135</v>
      </c>
      <c r="I9" s="33"/>
      <c r="J9" s="34"/>
      <c r="K9" s="35"/>
    </row>
    <row r="10" spans="1:11" x14ac:dyDescent="0.35">
      <c r="A10" s="29">
        <v>5</v>
      </c>
      <c r="B10" s="29" t="s">
        <v>436</v>
      </c>
      <c r="C10" s="30" t="s">
        <v>851</v>
      </c>
      <c r="D10" s="29" t="s">
        <v>140</v>
      </c>
      <c r="E10" s="29">
        <v>1</v>
      </c>
      <c r="F10" s="30" t="s">
        <v>850</v>
      </c>
      <c r="G10" s="31">
        <v>2.5</v>
      </c>
      <c r="H10" s="32" t="s">
        <v>135</v>
      </c>
      <c r="I10" s="33"/>
      <c r="J10" s="34"/>
      <c r="K10" s="35"/>
    </row>
    <row r="11" spans="1:11" ht="25" x14ac:dyDescent="0.35">
      <c r="A11" s="29">
        <v>6</v>
      </c>
      <c r="B11" s="29" t="s">
        <v>440</v>
      </c>
      <c r="C11" s="30" t="s">
        <v>852</v>
      </c>
      <c r="D11" s="29" t="s">
        <v>140</v>
      </c>
      <c r="E11" s="29">
        <v>1</v>
      </c>
      <c r="F11" s="30" t="s">
        <v>850</v>
      </c>
      <c r="G11" s="31">
        <v>1.5</v>
      </c>
      <c r="H11" s="32" t="s">
        <v>135</v>
      </c>
      <c r="I11" s="33"/>
      <c r="J11" s="34"/>
      <c r="K11" s="35"/>
    </row>
    <row r="12" spans="1:11" x14ac:dyDescent="0.35">
      <c r="A12" s="29">
        <v>7</v>
      </c>
      <c r="B12" s="29" t="s">
        <v>444</v>
      </c>
      <c r="C12" s="30" t="s">
        <v>853</v>
      </c>
      <c r="D12" s="29" t="s">
        <v>140</v>
      </c>
      <c r="E12" s="29">
        <v>1</v>
      </c>
      <c r="F12" s="30" t="s">
        <v>850</v>
      </c>
      <c r="G12" s="31">
        <v>1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448</v>
      </c>
      <c r="C13" s="30" t="s">
        <v>854</v>
      </c>
      <c r="D13" s="29" t="s">
        <v>140</v>
      </c>
      <c r="E13" s="29">
        <v>1</v>
      </c>
      <c r="F13" s="30" t="s">
        <v>850</v>
      </c>
      <c r="G13" s="31">
        <v>1.5</v>
      </c>
      <c r="H13" s="32" t="s">
        <v>135</v>
      </c>
      <c r="I13" s="33"/>
      <c r="J13" s="34"/>
      <c r="K13" s="35"/>
    </row>
    <row r="14" spans="1:11" x14ac:dyDescent="0.35">
      <c r="A14" s="29">
        <v>9</v>
      </c>
      <c r="B14" s="29" t="s">
        <v>847</v>
      </c>
      <c r="C14" s="36" t="s">
        <v>855</v>
      </c>
      <c r="D14" s="29" t="s">
        <v>138</v>
      </c>
      <c r="E14" s="29"/>
      <c r="F14" s="30"/>
      <c r="G14" s="31">
        <v>12</v>
      </c>
      <c r="H14" s="32" t="s">
        <v>135</v>
      </c>
      <c r="I14" s="33"/>
      <c r="J14" s="34"/>
      <c r="K14" s="35"/>
    </row>
    <row r="15" spans="1:11" ht="25" x14ac:dyDescent="0.35">
      <c r="A15" s="29">
        <v>10</v>
      </c>
      <c r="B15" s="29" t="s">
        <v>856</v>
      </c>
      <c r="C15" s="30" t="s">
        <v>857</v>
      </c>
      <c r="D15" s="29" t="s">
        <v>140</v>
      </c>
      <c r="E15" s="29">
        <v>1</v>
      </c>
      <c r="F15" s="30" t="s">
        <v>850</v>
      </c>
      <c r="G15" s="31">
        <v>1.5</v>
      </c>
      <c r="H15" s="32" t="s">
        <v>135</v>
      </c>
      <c r="I15" s="33"/>
      <c r="J15" s="34"/>
      <c r="K15" s="35"/>
    </row>
    <row r="16" spans="1:11" x14ac:dyDescent="0.35">
      <c r="A16" s="29">
        <v>11</v>
      </c>
      <c r="B16" s="29" t="s">
        <v>464</v>
      </c>
      <c r="C16" s="30" t="s">
        <v>858</v>
      </c>
      <c r="D16" s="29" t="s">
        <v>140</v>
      </c>
      <c r="E16" s="29">
        <v>1</v>
      </c>
      <c r="F16" s="30" t="s">
        <v>850</v>
      </c>
      <c r="G16" s="31">
        <v>1.5</v>
      </c>
      <c r="H16" s="32" t="s">
        <v>135</v>
      </c>
      <c r="I16" s="33"/>
      <c r="J16" s="34"/>
      <c r="K16" s="35"/>
    </row>
    <row r="17" spans="1:11" x14ac:dyDescent="0.35">
      <c r="A17" s="29">
        <v>12</v>
      </c>
      <c r="B17" s="29" t="s">
        <v>468</v>
      </c>
      <c r="C17" s="30" t="s">
        <v>859</v>
      </c>
      <c r="D17" s="29" t="s">
        <v>140</v>
      </c>
      <c r="E17" s="29">
        <v>1</v>
      </c>
      <c r="F17" s="30" t="s">
        <v>850</v>
      </c>
      <c r="G17" s="31">
        <v>1</v>
      </c>
      <c r="H17" s="32" t="s">
        <v>135</v>
      </c>
      <c r="I17" s="33"/>
      <c r="J17" s="34"/>
      <c r="K17" s="35"/>
    </row>
    <row r="18" spans="1:11" x14ac:dyDescent="0.35">
      <c r="A18" s="29">
        <v>13</v>
      </c>
      <c r="B18" s="29" t="s">
        <v>860</v>
      </c>
      <c r="C18" s="30" t="s">
        <v>861</v>
      </c>
      <c r="D18" s="29" t="s">
        <v>140</v>
      </c>
      <c r="E18" s="29">
        <v>1</v>
      </c>
      <c r="F18" s="30" t="s">
        <v>850</v>
      </c>
      <c r="G18" s="31">
        <v>1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472</v>
      </c>
      <c r="C19" s="30" t="s">
        <v>862</v>
      </c>
      <c r="D19" s="29" t="s">
        <v>140</v>
      </c>
      <c r="E19" s="29">
        <v>1</v>
      </c>
      <c r="F19" s="30" t="s">
        <v>850</v>
      </c>
      <c r="G19" s="31">
        <v>1.5</v>
      </c>
      <c r="H19" s="32" t="s">
        <v>135</v>
      </c>
      <c r="I19" s="33"/>
      <c r="J19" s="34"/>
      <c r="K19" s="35"/>
    </row>
    <row r="20" spans="1:11" x14ac:dyDescent="0.35">
      <c r="A20" s="29">
        <v>15</v>
      </c>
      <c r="B20" s="29" t="s">
        <v>476</v>
      </c>
      <c r="C20" s="30" t="s">
        <v>863</v>
      </c>
      <c r="D20" s="29" t="s">
        <v>140</v>
      </c>
      <c r="E20" s="29">
        <v>1</v>
      </c>
      <c r="F20" s="30" t="s">
        <v>850</v>
      </c>
      <c r="G20" s="31">
        <v>1</v>
      </c>
      <c r="H20" s="32" t="s">
        <v>135</v>
      </c>
      <c r="I20" s="33"/>
      <c r="J20" s="34"/>
      <c r="K20" s="35"/>
    </row>
    <row r="21" spans="1:11" x14ac:dyDescent="0.35">
      <c r="A21" s="29">
        <v>16</v>
      </c>
      <c r="B21" s="29" t="s">
        <v>480</v>
      </c>
      <c r="C21" s="30" t="s">
        <v>864</v>
      </c>
      <c r="D21" s="29" t="s">
        <v>140</v>
      </c>
      <c r="E21" s="29">
        <v>1</v>
      </c>
      <c r="F21" s="30" t="s">
        <v>850</v>
      </c>
      <c r="G21" s="31">
        <v>3</v>
      </c>
      <c r="H21" s="32" t="s">
        <v>135</v>
      </c>
      <c r="I21" s="33"/>
      <c r="J21" s="34"/>
      <c r="K21" s="35"/>
    </row>
    <row r="22" spans="1:11" x14ac:dyDescent="0.35">
      <c r="A22" s="29">
        <v>17</v>
      </c>
      <c r="B22" s="29" t="s">
        <v>484</v>
      </c>
      <c r="C22" s="30" t="s">
        <v>865</v>
      </c>
      <c r="D22" s="29" t="s">
        <v>140</v>
      </c>
      <c r="E22" s="29">
        <v>1</v>
      </c>
      <c r="F22" s="30" t="s">
        <v>850</v>
      </c>
      <c r="G22" s="31">
        <v>1.5</v>
      </c>
      <c r="H22" s="32" t="s">
        <v>135</v>
      </c>
      <c r="I22" s="33"/>
      <c r="J22" s="34"/>
      <c r="K22" s="35"/>
    </row>
    <row r="23" spans="1:11" x14ac:dyDescent="0.35">
      <c r="A23" s="29">
        <v>18</v>
      </c>
      <c r="B23" s="29" t="s">
        <v>488</v>
      </c>
      <c r="C23" s="30" t="s">
        <v>866</v>
      </c>
      <c r="D23" s="29" t="s">
        <v>140</v>
      </c>
      <c r="E23" s="29">
        <v>1</v>
      </c>
      <c r="F23" s="30" t="s">
        <v>850</v>
      </c>
      <c r="G23" s="31">
        <v>1.5</v>
      </c>
      <c r="H23" s="32" t="s">
        <v>135</v>
      </c>
      <c r="I23" s="33"/>
      <c r="J23" s="34"/>
      <c r="K23" s="35"/>
    </row>
    <row r="24" spans="1:11" x14ac:dyDescent="0.35">
      <c r="A24" s="29">
        <v>19</v>
      </c>
      <c r="B24" s="29" t="s">
        <v>87</v>
      </c>
      <c r="C24" s="36" t="s">
        <v>867</v>
      </c>
      <c r="D24" s="29" t="s">
        <v>138</v>
      </c>
      <c r="E24" s="29"/>
      <c r="F24" s="30"/>
      <c r="G24" s="31">
        <v>9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868</v>
      </c>
      <c r="C25" s="30" t="s">
        <v>869</v>
      </c>
      <c r="D25" s="29" t="s">
        <v>140</v>
      </c>
      <c r="E25" s="29">
        <v>1</v>
      </c>
      <c r="F25" s="30" t="s">
        <v>850</v>
      </c>
      <c r="G25" s="31">
        <v>1.5</v>
      </c>
      <c r="H25" s="32" t="s">
        <v>135</v>
      </c>
      <c r="I25" s="33"/>
      <c r="J25" s="34"/>
      <c r="K25" s="35"/>
    </row>
    <row r="26" spans="1:11" x14ac:dyDescent="0.35">
      <c r="A26" s="29">
        <v>21</v>
      </c>
      <c r="B26" s="29" t="s">
        <v>870</v>
      </c>
      <c r="C26" s="30" t="s">
        <v>871</v>
      </c>
      <c r="D26" s="29" t="s">
        <v>140</v>
      </c>
      <c r="E26" s="29">
        <v>1</v>
      </c>
      <c r="F26" s="30" t="s">
        <v>850</v>
      </c>
      <c r="G26" s="31">
        <v>1.5</v>
      </c>
      <c r="H26" s="32" t="s">
        <v>135</v>
      </c>
      <c r="I26" s="33"/>
      <c r="J26" s="34"/>
      <c r="K26" s="35"/>
    </row>
    <row r="27" spans="1:11" x14ac:dyDescent="0.35">
      <c r="A27" s="29">
        <v>22</v>
      </c>
      <c r="B27" s="29" t="s">
        <v>872</v>
      </c>
      <c r="C27" s="30" t="s">
        <v>873</v>
      </c>
      <c r="D27" s="29" t="s">
        <v>140</v>
      </c>
      <c r="E27" s="29">
        <v>1</v>
      </c>
      <c r="F27" s="30" t="s">
        <v>850</v>
      </c>
      <c r="G27" s="31">
        <v>2</v>
      </c>
      <c r="H27" s="32" t="s">
        <v>135</v>
      </c>
      <c r="I27" s="33"/>
      <c r="J27" s="34"/>
      <c r="K27" s="35"/>
    </row>
    <row r="28" spans="1:11" x14ac:dyDescent="0.35">
      <c r="A28" s="29">
        <v>23</v>
      </c>
      <c r="B28" s="29" t="s">
        <v>874</v>
      </c>
      <c r="C28" s="30" t="s">
        <v>875</v>
      </c>
      <c r="D28" s="29" t="s">
        <v>140</v>
      </c>
      <c r="E28" s="29">
        <v>1</v>
      </c>
      <c r="F28" s="30" t="s">
        <v>850</v>
      </c>
      <c r="G28" s="31">
        <v>3</v>
      </c>
      <c r="H28" s="32" t="s">
        <v>135</v>
      </c>
      <c r="I28" s="33"/>
      <c r="J28" s="34"/>
      <c r="K28" s="35"/>
    </row>
    <row r="29" spans="1:11" x14ac:dyDescent="0.35">
      <c r="A29" s="29">
        <v>24</v>
      </c>
      <c r="B29" s="29" t="s">
        <v>876</v>
      </c>
      <c r="C29" s="30" t="s">
        <v>877</v>
      </c>
      <c r="D29" s="29" t="s">
        <v>140</v>
      </c>
      <c r="E29" s="29">
        <v>1</v>
      </c>
      <c r="F29" s="30" t="s">
        <v>850</v>
      </c>
      <c r="G29" s="31">
        <v>2.5</v>
      </c>
      <c r="H29" s="32" t="s">
        <v>135</v>
      </c>
      <c r="I29" s="33"/>
      <c r="J29" s="34"/>
      <c r="K29" s="35"/>
    </row>
    <row r="30" spans="1:11" x14ac:dyDescent="0.35">
      <c r="A30" s="29">
        <v>25</v>
      </c>
      <c r="B30" s="29" t="s">
        <v>878</v>
      </c>
      <c r="C30" s="30" t="s">
        <v>879</v>
      </c>
      <c r="D30" s="29" t="s">
        <v>140</v>
      </c>
      <c r="E30" s="29">
        <v>1</v>
      </c>
      <c r="F30" s="30" t="s">
        <v>850</v>
      </c>
      <c r="G30" s="31">
        <v>3</v>
      </c>
      <c r="H30" s="32" t="s">
        <v>135</v>
      </c>
      <c r="I30" s="33"/>
      <c r="J30" s="34"/>
      <c r="K30" s="35"/>
    </row>
    <row r="31" spans="1:11" x14ac:dyDescent="0.35">
      <c r="A31" s="29">
        <v>26</v>
      </c>
      <c r="B31" s="29" t="s">
        <v>880</v>
      </c>
      <c r="C31" s="30" t="s">
        <v>881</v>
      </c>
      <c r="D31" s="29" t="s">
        <v>140</v>
      </c>
      <c r="E31" s="29">
        <v>1</v>
      </c>
      <c r="F31" s="30" t="s">
        <v>850</v>
      </c>
      <c r="G31" s="31">
        <v>2</v>
      </c>
      <c r="H31" s="32" t="s">
        <v>135</v>
      </c>
      <c r="I31" s="33"/>
      <c r="J31" s="34"/>
      <c r="K31" s="35"/>
    </row>
    <row r="32" spans="1:11" x14ac:dyDescent="0.35">
      <c r="A32" s="29">
        <v>27</v>
      </c>
      <c r="B32" s="29" t="s">
        <v>882</v>
      </c>
      <c r="C32" s="36" t="s">
        <v>883</v>
      </c>
      <c r="D32" s="29" t="s">
        <v>138</v>
      </c>
      <c r="E32" s="29"/>
      <c r="F32" s="30"/>
      <c r="G32" s="31">
        <v>12</v>
      </c>
      <c r="H32" s="32" t="s">
        <v>135</v>
      </c>
      <c r="I32" s="33"/>
      <c r="J32" s="34"/>
      <c r="K32" s="35"/>
    </row>
    <row r="33" spans="1:11" x14ac:dyDescent="0.35">
      <c r="A33" s="29">
        <v>28</v>
      </c>
      <c r="B33" s="29" t="s">
        <v>884</v>
      </c>
      <c r="C33" s="30" t="s">
        <v>885</v>
      </c>
      <c r="D33" s="29" t="s">
        <v>140</v>
      </c>
      <c r="E33" s="29">
        <v>1</v>
      </c>
      <c r="F33" s="30" t="s">
        <v>850</v>
      </c>
      <c r="G33" s="31">
        <v>1.5</v>
      </c>
      <c r="H33" s="32" t="s">
        <v>135</v>
      </c>
      <c r="I33" s="33"/>
      <c r="J33" s="34"/>
      <c r="K33" s="35"/>
    </row>
    <row r="34" spans="1:11" ht="25" x14ac:dyDescent="0.35">
      <c r="A34" s="29">
        <v>29</v>
      </c>
      <c r="B34" s="29" t="s">
        <v>886</v>
      </c>
      <c r="C34" s="30" t="s">
        <v>887</v>
      </c>
      <c r="D34" s="29" t="s">
        <v>140</v>
      </c>
      <c r="E34" s="29">
        <v>1</v>
      </c>
      <c r="F34" s="30" t="s">
        <v>850</v>
      </c>
      <c r="G34" s="31">
        <v>3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888</v>
      </c>
      <c r="C35" s="30" t="s">
        <v>889</v>
      </c>
      <c r="D35" s="29" t="s">
        <v>140</v>
      </c>
      <c r="E35" s="29">
        <v>1</v>
      </c>
      <c r="F35" s="30" t="s">
        <v>850</v>
      </c>
      <c r="G35" s="31">
        <v>1.5</v>
      </c>
      <c r="H35" s="32" t="s">
        <v>135</v>
      </c>
      <c r="I35" s="33"/>
      <c r="J35" s="34"/>
      <c r="K35" s="35"/>
    </row>
    <row r="36" spans="1:11" x14ac:dyDescent="0.35">
      <c r="A36" s="29">
        <v>31</v>
      </c>
      <c r="B36" s="29" t="s">
        <v>890</v>
      </c>
      <c r="C36" s="30" t="s">
        <v>891</v>
      </c>
      <c r="D36" s="29" t="s">
        <v>140</v>
      </c>
      <c r="E36" s="29">
        <v>1</v>
      </c>
      <c r="F36" s="30" t="s">
        <v>850</v>
      </c>
      <c r="G36" s="31">
        <v>1.5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892</v>
      </c>
      <c r="C37" s="30" t="s">
        <v>893</v>
      </c>
      <c r="D37" s="29" t="s">
        <v>140</v>
      </c>
      <c r="E37" s="29">
        <v>1</v>
      </c>
      <c r="F37" s="30" t="s">
        <v>850</v>
      </c>
      <c r="G37" s="31">
        <v>1.5</v>
      </c>
      <c r="H37" s="32" t="s">
        <v>135</v>
      </c>
      <c r="I37" s="33"/>
      <c r="J37" s="34"/>
      <c r="K37" s="35"/>
    </row>
    <row r="38" spans="1:11" x14ac:dyDescent="0.35">
      <c r="A38" s="29">
        <v>33</v>
      </c>
      <c r="B38" s="29" t="s">
        <v>894</v>
      </c>
      <c r="C38" s="36" t="s">
        <v>895</v>
      </c>
      <c r="D38" s="29" t="s">
        <v>138</v>
      </c>
      <c r="E38" s="29"/>
      <c r="F38" s="30" t="s">
        <v>896</v>
      </c>
      <c r="G38" s="31">
        <v>4</v>
      </c>
      <c r="H38" s="32" t="s">
        <v>135</v>
      </c>
      <c r="I38" s="33"/>
      <c r="J38" s="34"/>
      <c r="K38" s="35"/>
    </row>
    <row r="39" spans="1:11" x14ac:dyDescent="0.35">
      <c r="A39" s="29">
        <v>34</v>
      </c>
      <c r="B39" s="29" t="s">
        <v>897</v>
      </c>
      <c r="C39" s="36" t="s">
        <v>898</v>
      </c>
      <c r="D39" s="29" t="s">
        <v>138</v>
      </c>
      <c r="E39" s="29"/>
      <c r="F39" s="30" t="s">
        <v>899</v>
      </c>
      <c r="G39" s="31">
        <v>5</v>
      </c>
      <c r="H39" s="32" t="s">
        <v>135</v>
      </c>
      <c r="I39" s="33"/>
      <c r="J39" s="34"/>
      <c r="K39" s="35"/>
    </row>
    <row r="40" spans="1:11" x14ac:dyDescent="0.35">
      <c r="A40" s="29">
        <v>35</v>
      </c>
      <c r="B40" s="29" t="s">
        <v>900</v>
      </c>
      <c r="C40" s="30" t="s">
        <v>901</v>
      </c>
      <c r="D40" s="29" t="s">
        <v>650</v>
      </c>
      <c r="E40" s="29"/>
      <c r="F40" s="30" t="s">
        <v>902</v>
      </c>
      <c r="G40" s="31">
        <v>10</v>
      </c>
      <c r="H40" s="32" t="s">
        <v>135</v>
      </c>
      <c r="I40" s="33"/>
      <c r="J40" s="34"/>
      <c r="K40" s="35"/>
    </row>
    <row r="41" spans="1:11" x14ac:dyDescent="0.35">
      <c r="A41" s="29">
        <v>36</v>
      </c>
      <c r="B41" s="29" t="s">
        <v>903</v>
      </c>
      <c r="C41" s="30" t="s">
        <v>904</v>
      </c>
      <c r="D41" s="29" t="s">
        <v>132</v>
      </c>
      <c r="E41" s="29"/>
      <c r="F41" s="30" t="s">
        <v>905</v>
      </c>
      <c r="G41" s="31">
        <v>3</v>
      </c>
      <c r="H41" s="32" t="s">
        <v>135</v>
      </c>
      <c r="I41" s="33"/>
      <c r="J41" s="34"/>
      <c r="K41" s="35"/>
    </row>
    <row r="42" spans="1:11" x14ac:dyDescent="0.35">
      <c r="A42" s="29">
        <v>37</v>
      </c>
      <c r="B42" s="29" t="s">
        <v>903</v>
      </c>
      <c r="C42" s="36" t="s">
        <v>906</v>
      </c>
      <c r="D42" s="29" t="s">
        <v>138</v>
      </c>
      <c r="E42" s="29"/>
      <c r="F42" s="30" t="s">
        <v>907</v>
      </c>
      <c r="G42" s="31">
        <v>8</v>
      </c>
      <c r="H42" s="32" t="s">
        <v>135</v>
      </c>
      <c r="I42" s="33"/>
      <c r="J42" s="34"/>
      <c r="K42" s="35"/>
    </row>
    <row r="43" spans="1:11" x14ac:dyDescent="0.35">
      <c r="A43" s="29">
        <v>38</v>
      </c>
      <c r="B43" s="29" t="s">
        <v>903</v>
      </c>
      <c r="C43" s="30" t="s">
        <v>908</v>
      </c>
      <c r="D43" s="29" t="s">
        <v>650</v>
      </c>
      <c r="E43" s="29"/>
      <c r="F43" s="30" t="s">
        <v>909</v>
      </c>
      <c r="G43" s="31">
        <v>7</v>
      </c>
      <c r="H43" s="32" t="s">
        <v>135</v>
      </c>
      <c r="I43" s="33"/>
      <c r="J43" s="34"/>
      <c r="K43" s="35"/>
    </row>
    <row r="44" spans="1:11" x14ac:dyDescent="0.35">
      <c r="A44" s="29">
        <v>39</v>
      </c>
      <c r="B44" s="29" t="s">
        <v>903</v>
      </c>
      <c r="C44" s="30" t="s">
        <v>910</v>
      </c>
      <c r="D44" s="29" t="s">
        <v>650</v>
      </c>
      <c r="E44" s="29"/>
      <c r="F44" s="30" t="s">
        <v>911</v>
      </c>
      <c r="G44" s="31">
        <v>6</v>
      </c>
      <c r="H44" s="32" t="s">
        <v>135</v>
      </c>
      <c r="I44" s="33"/>
      <c r="J44" s="34"/>
      <c r="K44" s="35"/>
    </row>
    <row r="45" spans="1:11" x14ac:dyDescent="0.35">
      <c r="A45" s="29">
        <v>40</v>
      </c>
      <c r="B45" s="29" t="s">
        <v>903</v>
      </c>
      <c r="C45" s="30" t="s">
        <v>912</v>
      </c>
      <c r="D45" s="29" t="s">
        <v>650</v>
      </c>
      <c r="E45" s="29"/>
      <c r="F45" s="30" t="s">
        <v>913</v>
      </c>
      <c r="G45" s="31">
        <v>10</v>
      </c>
      <c r="H45" s="32" t="s">
        <v>135</v>
      </c>
      <c r="I45" s="33"/>
      <c r="J45" s="34"/>
      <c r="K45" s="35"/>
    </row>
    <row r="46" spans="1:11" x14ac:dyDescent="0.35">
      <c r="A46" s="29">
        <v>41</v>
      </c>
      <c r="B46" s="29" t="s">
        <v>903</v>
      </c>
      <c r="C46" s="30" t="s">
        <v>914</v>
      </c>
      <c r="D46" s="29" t="s">
        <v>650</v>
      </c>
      <c r="E46" s="29"/>
      <c r="F46" s="30" t="s">
        <v>915</v>
      </c>
      <c r="G46" s="31">
        <v>8</v>
      </c>
      <c r="H46" s="32" t="s">
        <v>135</v>
      </c>
      <c r="I46" s="33"/>
      <c r="J46" s="34"/>
      <c r="K46" s="35"/>
    </row>
    <row r="47" spans="1:11" x14ac:dyDescent="0.35">
      <c r="A47" s="29">
        <v>42</v>
      </c>
      <c r="B47" s="29" t="s">
        <v>903</v>
      </c>
      <c r="C47" s="30" t="s">
        <v>916</v>
      </c>
      <c r="D47" s="29" t="s">
        <v>650</v>
      </c>
      <c r="E47" s="29"/>
      <c r="F47" s="30" t="s">
        <v>917</v>
      </c>
      <c r="G47" s="31">
        <v>10</v>
      </c>
      <c r="H47" s="32" t="s">
        <v>135</v>
      </c>
      <c r="I47" s="33"/>
      <c r="J47" s="34"/>
      <c r="K47" s="35"/>
    </row>
    <row r="48" spans="1:11" ht="25" x14ac:dyDescent="0.35">
      <c r="A48" s="29">
        <v>43</v>
      </c>
      <c r="B48" s="29" t="s">
        <v>412</v>
      </c>
      <c r="C48" s="30" t="s">
        <v>413</v>
      </c>
      <c r="D48" s="29" t="s">
        <v>414</v>
      </c>
      <c r="E48" s="29"/>
      <c r="F48" s="30" t="s">
        <v>415</v>
      </c>
      <c r="G48" s="31">
        <v>10</v>
      </c>
      <c r="H48" s="32" t="s">
        <v>135</v>
      </c>
      <c r="I48" s="33"/>
      <c r="J48" s="34"/>
      <c r="K48" s="35"/>
    </row>
  </sheetData>
  <autoFilter ref="A5:K48" xr:uid="{00000000-0009-0000-0000-000007000000}"/>
  <mergeCells count="1">
    <mergeCell ref="A2:K2"/>
  </mergeCells>
  <conditionalFormatting sqref="A6:K48">
    <cfRule type="expression" dxfId="11" priority="2">
      <formula>$H6="Done"</formula>
    </cfRule>
    <cfRule type="expression" dxfId="10" priority="3">
      <formula>$H6="In progress"</formula>
    </cfRule>
    <cfRule type="expression" dxfId="9" priority="4">
      <formula>$H6="Skipped"</formula>
    </cfRule>
  </conditionalFormatting>
  <dataValidations count="1">
    <dataValidation type="list" allowBlank="1" errorTitle="Status" error="Pick a status from the list." sqref="H6:H500" xr:uid="{00000000-0002-0000-07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5"/>
  <sheetViews>
    <sheetView zoomScaleNormal="100" workbookViewId="0">
      <pane xSplit="3" ySplit="5" topLeftCell="D74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918</v>
      </c>
    </row>
    <row r="2" spans="1:11" ht="42" customHeight="1" x14ac:dyDescent="0.35">
      <c r="A2" s="37" t="s">
        <v>919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164.49999999999997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119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ht="25" x14ac:dyDescent="0.35">
      <c r="A6" s="29">
        <v>1</v>
      </c>
      <c r="B6" s="29" t="s">
        <v>132</v>
      </c>
      <c r="C6" s="30" t="s">
        <v>920</v>
      </c>
      <c r="D6" s="29" t="s">
        <v>132</v>
      </c>
      <c r="E6" s="29"/>
      <c r="F6" s="30" t="s">
        <v>921</v>
      </c>
      <c r="G6" s="31">
        <v>0.5</v>
      </c>
      <c r="H6" s="32" t="s">
        <v>135</v>
      </c>
      <c r="I6" s="33"/>
      <c r="J6" s="34"/>
      <c r="K6" s="35"/>
    </row>
    <row r="7" spans="1:11" x14ac:dyDescent="0.35">
      <c r="A7" s="29">
        <v>2</v>
      </c>
      <c r="B7" s="29" t="s">
        <v>420</v>
      </c>
      <c r="C7" s="36" t="s">
        <v>922</v>
      </c>
      <c r="D7" s="29" t="s">
        <v>138</v>
      </c>
      <c r="E7" s="29"/>
      <c r="F7" s="30"/>
      <c r="G7" s="31">
        <v>6</v>
      </c>
      <c r="H7" s="32" t="s">
        <v>135</v>
      </c>
      <c r="I7" s="33"/>
      <c r="J7" s="34"/>
      <c r="K7" s="35"/>
    </row>
    <row r="8" spans="1:11" x14ac:dyDescent="0.35">
      <c r="A8" s="29">
        <v>3</v>
      </c>
      <c r="B8" s="29" t="s">
        <v>420</v>
      </c>
      <c r="C8" s="30" t="s">
        <v>923</v>
      </c>
      <c r="D8" s="29" t="s">
        <v>140</v>
      </c>
      <c r="E8" s="29">
        <v>1</v>
      </c>
      <c r="F8" s="30" t="s">
        <v>924</v>
      </c>
      <c r="G8" s="31">
        <v>0.3</v>
      </c>
      <c r="H8" s="32" t="s">
        <v>135</v>
      </c>
      <c r="I8" s="33"/>
      <c r="J8" s="34"/>
      <c r="K8" s="35"/>
    </row>
    <row r="9" spans="1:11" x14ac:dyDescent="0.35">
      <c r="A9" s="29">
        <v>4</v>
      </c>
      <c r="B9" s="29" t="s">
        <v>420</v>
      </c>
      <c r="C9" s="30" t="s">
        <v>925</v>
      </c>
      <c r="D9" s="29" t="s">
        <v>140</v>
      </c>
      <c r="E9" s="29">
        <v>1</v>
      </c>
      <c r="F9" s="30" t="s">
        <v>924</v>
      </c>
      <c r="G9" s="31">
        <v>0.3</v>
      </c>
      <c r="H9" s="32" t="s">
        <v>135</v>
      </c>
      <c r="I9" s="33"/>
      <c r="J9" s="34"/>
      <c r="K9" s="35"/>
    </row>
    <row r="10" spans="1:11" x14ac:dyDescent="0.35">
      <c r="A10" s="29">
        <v>5</v>
      </c>
      <c r="B10" s="29" t="s">
        <v>420</v>
      </c>
      <c r="C10" s="30" t="s">
        <v>926</v>
      </c>
      <c r="D10" s="29" t="s">
        <v>140</v>
      </c>
      <c r="E10" s="29">
        <v>1</v>
      </c>
      <c r="F10" s="30" t="s">
        <v>924</v>
      </c>
      <c r="G10" s="31">
        <v>0.3</v>
      </c>
      <c r="H10" s="32" t="s">
        <v>135</v>
      </c>
      <c r="I10" s="33"/>
      <c r="J10" s="34"/>
      <c r="K10" s="35"/>
    </row>
    <row r="11" spans="1:11" x14ac:dyDescent="0.35">
      <c r="A11" s="29">
        <v>6</v>
      </c>
      <c r="B11" s="29" t="s">
        <v>420</v>
      </c>
      <c r="C11" s="30" t="s">
        <v>927</v>
      </c>
      <c r="D11" s="29" t="s">
        <v>140</v>
      </c>
      <c r="E11" s="29">
        <v>1</v>
      </c>
      <c r="F11" s="30" t="s">
        <v>924</v>
      </c>
      <c r="G11" s="31">
        <v>0.3</v>
      </c>
      <c r="H11" s="32" t="s">
        <v>135</v>
      </c>
      <c r="I11" s="33"/>
      <c r="J11" s="34"/>
      <c r="K11" s="35"/>
    </row>
    <row r="12" spans="1:11" x14ac:dyDescent="0.35">
      <c r="A12" s="29">
        <v>7</v>
      </c>
      <c r="B12" s="29" t="s">
        <v>420</v>
      </c>
      <c r="C12" s="30" t="s">
        <v>928</v>
      </c>
      <c r="D12" s="29" t="s">
        <v>140</v>
      </c>
      <c r="E12" s="29">
        <v>1</v>
      </c>
      <c r="F12" s="30" t="s">
        <v>924</v>
      </c>
      <c r="G12" s="31">
        <v>0.3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420</v>
      </c>
      <c r="C13" s="30" t="s">
        <v>929</v>
      </c>
      <c r="D13" s="29" t="s">
        <v>140</v>
      </c>
      <c r="E13" s="29">
        <v>1</v>
      </c>
      <c r="F13" s="30" t="s">
        <v>924</v>
      </c>
      <c r="G13" s="31">
        <v>0.3</v>
      </c>
      <c r="H13" s="32" t="s">
        <v>135</v>
      </c>
      <c r="I13" s="33"/>
      <c r="J13" s="34"/>
      <c r="K13" s="35"/>
    </row>
    <row r="14" spans="1:11" x14ac:dyDescent="0.35">
      <c r="A14" s="29">
        <v>9</v>
      </c>
      <c r="B14" s="29" t="s">
        <v>420</v>
      </c>
      <c r="C14" s="30" t="s">
        <v>930</v>
      </c>
      <c r="D14" s="29" t="s">
        <v>140</v>
      </c>
      <c r="E14" s="29">
        <v>1</v>
      </c>
      <c r="F14" s="30" t="s">
        <v>924</v>
      </c>
      <c r="G14" s="31">
        <v>0.3</v>
      </c>
      <c r="H14" s="32" t="s">
        <v>135</v>
      </c>
      <c r="I14" s="33"/>
      <c r="J14" s="34"/>
      <c r="K14" s="35"/>
    </row>
    <row r="15" spans="1:11" x14ac:dyDescent="0.35">
      <c r="A15" s="29">
        <v>10</v>
      </c>
      <c r="B15" s="29" t="s">
        <v>420</v>
      </c>
      <c r="C15" s="30" t="s">
        <v>931</v>
      </c>
      <c r="D15" s="29" t="s">
        <v>140</v>
      </c>
      <c r="E15" s="29">
        <v>1</v>
      </c>
      <c r="F15" s="30" t="s">
        <v>924</v>
      </c>
      <c r="G15" s="31">
        <v>0.3</v>
      </c>
      <c r="H15" s="32" t="s">
        <v>135</v>
      </c>
      <c r="I15" s="33"/>
      <c r="J15" s="34"/>
      <c r="K15" s="35"/>
    </row>
    <row r="16" spans="1:11" ht="25" x14ac:dyDescent="0.35">
      <c r="A16" s="29">
        <v>11</v>
      </c>
      <c r="B16" s="29" t="s">
        <v>420</v>
      </c>
      <c r="C16" s="30" t="s">
        <v>932</v>
      </c>
      <c r="D16" s="29" t="s">
        <v>140</v>
      </c>
      <c r="E16" s="29">
        <v>8</v>
      </c>
      <c r="F16" s="30" t="s">
        <v>933</v>
      </c>
      <c r="G16" s="31">
        <v>4</v>
      </c>
      <c r="H16" s="32" t="s">
        <v>135</v>
      </c>
      <c r="I16" s="33"/>
      <c r="J16" s="34"/>
      <c r="K16" s="35"/>
    </row>
    <row r="17" spans="1:11" x14ac:dyDescent="0.35">
      <c r="A17" s="29">
        <v>12</v>
      </c>
      <c r="B17" s="29" t="s">
        <v>420</v>
      </c>
      <c r="C17" s="30" t="s">
        <v>934</v>
      </c>
      <c r="D17" s="29" t="s">
        <v>650</v>
      </c>
      <c r="E17" s="29"/>
      <c r="F17" s="30"/>
      <c r="G17" s="31">
        <v>1</v>
      </c>
      <c r="H17" s="32" t="s">
        <v>135</v>
      </c>
      <c r="I17" s="33"/>
      <c r="J17" s="34"/>
      <c r="K17" s="35"/>
    </row>
    <row r="18" spans="1:11" x14ac:dyDescent="0.35">
      <c r="A18" s="29">
        <v>13</v>
      </c>
      <c r="B18" s="29" t="s">
        <v>424</v>
      </c>
      <c r="C18" s="36" t="s">
        <v>935</v>
      </c>
      <c r="D18" s="29" t="s">
        <v>138</v>
      </c>
      <c r="E18" s="29"/>
      <c r="F18" s="30"/>
      <c r="G18" s="31">
        <v>8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424</v>
      </c>
      <c r="C19" s="30" t="s">
        <v>936</v>
      </c>
      <c r="D19" s="29" t="s">
        <v>140</v>
      </c>
      <c r="E19" s="29">
        <v>1</v>
      </c>
      <c r="F19" s="30" t="s">
        <v>924</v>
      </c>
      <c r="G19" s="31">
        <v>0.3</v>
      </c>
      <c r="H19" s="32" t="s">
        <v>135</v>
      </c>
      <c r="I19" s="33"/>
      <c r="J19" s="34"/>
      <c r="K19" s="35"/>
    </row>
    <row r="20" spans="1:11" x14ac:dyDescent="0.35">
      <c r="A20" s="29">
        <v>15</v>
      </c>
      <c r="B20" s="29" t="s">
        <v>424</v>
      </c>
      <c r="C20" s="30" t="s">
        <v>937</v>
      </c>
      <c r="D20" s="29" t="s">
        <v>140</v>
      </c>
      <c r="E20" s="29">
        <v>1</v>
      </c>
      <c r="F20" s="30" t="s">
        <v>924</v>
      </c>
      <c r="G20" s="31">
        <v>0.3</v>
      </c>
      <c r="H20" s="32" t="s">
        <v>135</v>
      </c>
      <c r="I20" s="33"/>
      <c r="J20" s="34"/>
      <c r="K20" s="35"/>
    </row>
    <row r="21" spans="1:11" x14ac:dyDescent="0.35">
      <c r="A21" s="29">
        <v>16</v>
      </c>
      <c r="B21" s="29" t="s">
        <v>424</v>
      </c>
      <c r="C21" s="30" t="s">
        <v>938</v>
      </c>
      <c r="D21" s="29" t="s">
        <v>140</v>
      </c>
      <c r="E21" s="29">
        <v>1</v>
      </c>
      <c r="F21" s="30" t="s">
        <v>924</v>
      </c>
      <c r="G21" s="31">
        <v>0.3</v>
      </c>
      <c r="H21" s="32" t="s">
        <v>135</v>
      </c>
      <c r="I21" s="33"/>
      <c r="J21" s="34"/>
      <c r="K21" s="35"/>
    </row>
    <row r="22" spans="1:11" x14ac:dyDescent="0.35">
      <c r="A22" s="29">
        <v>17</v>
      </c>
      <c r="B22" s="29" t="s">
        <v>424</v>
      </c>
      <c r="C22" s="30" t="s">
        <v>939</v>
      </c>
      <c r="D22" s="29" t="s">
        <v>140</v>
      </c>
      <c r="E22" s="29">
        <v>1</v>
      </c>
      <c r="F22" s="30" t="s">
        <v>924</v>
      </c>
      <c r="G22" s="31">
        <v>0.3</v>
      </c>
      <c r="H22" s="32" t="s">
        <v>135</v>
      </c>
      <c r="I22" s="33"/>
      <c r="J22" s="34"/>
      <c r="K22" s="35"/>
    </row>
    <row r="23" spans="1:11" x14ac:dyDescent="0.35">
      <c r="A23" s="29">
        <v>18</v>
      </c>
      <c r="B23" s="29" t="s">
        <v>424</v>
      </c>
      <c r="C23" s="30" t="s">
        <v>940</v>
      </c>
      <c r="D23" s="29" t="s">
        <v>140</v>
      </c>
      <c r="E23" s="29">
        <v>1</v>
      </c>
      <c r="F23" s="30" t="s">
        <v>924</v>
      </c>
      <c r="G23" s="31">
        <v>0.3</v>
      </c>
      <c r="H23" s="32" t="s">
        <v>135</v>
      </c>
      <c r="I23" s="33"/>
      <c r="J23" s="34"/>
      <c r="K23" s="35"/>
    </row>
    <row r="24" spans="1:11" x14ac:dyDescent="0.35">
      <c r="A24" s="29">
        <v>19</v>
      </c>
      <c r="B24" s="29" t="s">
        <v>424</v>
      </c>
      <c r="C24" s="30" t="s">
        <v>941</v>
      </c>
      <c r="D24" s="29" t="s">
        <v>140</v>
      </c>
      <c r="E24" s="29">
        <v>1</v>
      </c>
      <c r="F24" s="30" t="s">
        <v>924</v>
      </c>
      <c r="G24" s="31">
        <v>0.3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424</v>
      </c>
      <c r="C25" s="30" t="s">
        <v>942</v>
      </c>
      <c r="D25" s="29" t="s">
        <v>140</v>
      </c>
      <c r="E25" s="29">
        <v>1</v>
      </c>
      <c r="F25" s="30" t="s">
        <v>924</v>
      </c>
      <c r="G25" s="31">
        <v>0.3</v>
      </c>
      <c r="H25" s="32" t="s">
        <v>135</v>
      </c>
      <c r="I25" s="33"/>
      <c r="J25" s="34"/>
      <c r="K25" s="35"/>
    </row>
    <row r="26" spans="1:11" ht="25" x14ac:dyDescent="0.35">
      <c r="A26" s="29">
        <v>21</v>
      </c>
      <c r="B26" s="29" t="s">
        <v>424</v>
      </c>
      <c r="C26" s="30" t="s">
        <v>943</v>
      </c>
      <c r="D26" s="29" t="s">
        <v>140</v>
      </c>
      <c r="E26" s="29">
        <v>1</v>
      </c>
      <c r="F26" s="30" t="s">
        <v>924</v>
      </c>
      <c r="G26" s="31">
        <v>0.3</v>
      </c>
      <c r="H26" s="32" t="s">
        <v>135</v>
      </c>
      <c r="I26" s="33"/>
      <c r="J26" s="34"/>
      <c r="K26" s="35"/>
    </row>
    <row r="27" spans="1:11" ht="25" x14ac:dyDescent="0.35">
      <c r="A27" s="29">
        <v>22</v>
      </c>
      <c r="B27" s="29" t="s">
        <v>424</v>
      </c>
      <c r="C27" s="30" t="s">
        <v>944</v>
      </c>
      <c r="D27" s="29" t="s">
        <v>140</v>
      </c>
      <c r="E27" s="29">
        <v>12</v>
      </c>
      <c r="F27" s="30" t="s">
        <v>933</v>
      </c>
      <c r="G27" s="31">
        <v>7</v>
      </c>
      <c r="H27" s="32" t="s">
        <v>135</v>
      </c>
      <c r="I27" s="33"/>
      <c r="J27" s="34"/>
      <c r="K27" s="35"/>
    </row>
    <row r="28" spans="1:11" x14ac:dyDescent="0.35">
      <c r="A28" s="29">
        <v>23</v>
      </c>
      <c r="B28" s="29" t="s">
        <v>424</v>
      </c>
      <c r="C28" s="30" t="s">
        <v>945</v>
      </c>
      <c r="D28" s="29" t="s">
        <v>650</v>
      </c>
      <c r="E28" s="29"/>
      <c r="F28" s="30"/>
      <c r="G28" s="31">
        <v>1.5</v>
      </c>
      <c r="H28" s="32" t="s">
        <v>135</v>
      </c>
      <c r="I28" s="33"/>
      <c r="J28" s="34"/>
      <c r="K28" s="35"/>
    </row>
    <row r="29" spans="1:11" x14ac:dyDescent="0.35">
      <c r="A29" s="29">
        <v>24</v>
      </c>
      <c r="B29" s="29" t="s">
        <v>424</v>
      </c>
      <c r="C29" s="30" t="s">
        <v>946</v>
      </c>
      <c r="D29" s="29" t="s">
        <v>650</v>
      </c>
      <c r="E29" s="29"/>
      <c r="F29" s="30"/>
      <c r="G29" s="31">
        <v>1.5</v>
      </c>
      <c r="H29" s="32" t="s">
        <v>135</v>
      </c>
      <c r="I29" s="33"/>
      <c r="J29" s="34"/>
      <c r="K29" s="35"/>
    </row>
    <row r="30" spans="1:11" x14ac:dyDescent="0.35">
      <c r="A30" s="29">
        <v>25</v>
      </c>
      <c r="B30" s="29" t="s">
        <v>424</v>
      </c>
      <c r="C30" s="30" t="s">
        <v>947</v>
      </c>
      <c r="D30" s="29" t="s">
        <v>650</v>
      </c>
      <c r="E30" s="29"/>
      <c r="F30" s="30" t="s">
        <v>948</v>
      </c>
      <c r="G30" s="31">
        <v>3</v>
      </c>
      <c r="H30" s="32" t="s">
        <v>135</v>
      </c>
      <c r="I30" s="33"/>
      <c r="J30" s="34"/>
      <c r="K30" s="35"/>
    </row>
    <row r="31" spans="1:11" x14ac:dyDescent="0.35">
      <c r="A31" s="29">
        <v>26</v>
      </c>
      <c r="B31" s="29" t="s">
        <v>424</v>
      </c>
      <c r="C31" s="30" t="s">
        <v>949</v>
      </c>
      <c r="D31" s="29" t="s">
        <v>650</v>
      </c>
      <c r="E31" s="29"/>
      <c r="F31" s="30" t="s">
        <v>948</v>
      </c>
      <c r="G31" s="31">
        <v>2.5</v>
      </c>
      <c r="H31" s="32" t="s">
        <v>135</v>
      </c>
      <c r="I31" s="33"/>
      <c r="J31" s="34"/>
      <c r="K31" s="35"/>
    </row>
    <row r="32" spans="1:11" x14ac:dyDescent="0.35">
      <c r="A32" s="29">
        <v>27</v>
      </c>
      <c r="B32" s="29" t="s">
        <v>424</v>
      </c>
      <c r="C32" s="30" t="s">
        <v>950</v>
      </c>
      <c r="D32" s="29" t="s">
        <v>650</v>
      </c>
      <c r="E32" s="29"/>
      <c r="F32" s="30" t="s">
        <v>948</v>
      </c>
      <c r="G32" s="31">
        <v>2.5</v>
      </c>
      <c r="H32" s="32" t="s">
        <v>135</v>
      </c>
      <c r="I32" s="33"/>
      <c r="J32" s="34"/>
      <c r="K32" s="35"/>
    </row>
    <row r="33" spans="1:11" x14ac:dyDescent="0.35">
      <c r="A33" s="29">
        <v>28</v>
      </c>
      <c r="B33" s="29" t="s">
        <v>424</v>
      </c>
      <c r="C33" s="30" t="s">
        <v>951</v>
      </c>
      <c r="D33" s="29" t="s">
        <v>650</v>
      </c>
      <c r="E33" s="29"/>
      <c r="F33" s="30" t="s">
        <v>948</v>
      </c>
      <c r="G33" s="31">
        <v>5</v>
      </c>
      <c r="H33" s="32" t="s">
        <v>135</v>
      </c>
      <c r="I33" s="33"/>
      <c r="J33" s="34"/>
      <c r="K33" s="35"/>
    </row>
    <row r="34" spans="1:11" x14ac:dyDescent="0.35">
      <c r="A34" s="29">
        <v>29</v>
      </c>
      <c r="B34" s="29" t="s">
        <v>428</v>
      </c>
      <c r="C34" s="36" t="s">
        <v>952</v>
      </c>
      <c r="D34" s="29" t="s">
        <v>138</v>
      </c>
      <c r="E34" s="29"/>
      <c r="F34" s="30"/>
      <c r="G34" s="31">
        <v>11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428</v>
      </c>
      <c r="C35" s="30" t="s">
        <v>953</v>
      </c>
      <c r="D35" s="29" t="s">
        <v>140</v>
      </c>
      <c r="E35" s="29">
        <v>1</v>
      </c>
      <c r="F35" s="30" t="s">
        <v>924</v>
      </c>
      <c r="G35" s="31">
        <v>0.3</v>
      </c>
      <c r="H35" s="32" t="s">
        <v>135</v>
      </c>
      <c r="I35" s="33"/>
      <c r="J35" s="34"/>
      <c r="K35" s="35"/>
    </row>
    <row r="36" spans="1:11" x14ac:dyDescent="0.35">
      <c r="A36" s="29">
        <v>31</v>
      </c>
      <c r="B36" s="29" t="s">
        <v>428</v>
      </c>
      <c r="C36" s="30" t="s">
        <v>954</v>
      </c>
      <c r="D36" s="29" t="s">
        <v>140</v>
      </c>
      <c r="E36" s="29">
        <v>1</v>
      </c>
      <c r="F36" s="30" t="s">
        <v>924</v>
      </c>
      <c r="G36" s="31">
        <v>0.3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428</v>
      </c>
      <c r="C37" s="30" t="s">
        <v>955</v>
      </c>
      <c r="D37" s="29" t="s">
        <v>140</v>
      </c>
      <c r="E37" s="29">
        <v>1</v>
      </c>
      <c r="F37" s="30" t="s">
        <v>924</v>
      </c>
      <c r="G37" s="31">
        <v>0.3</v>
      </c>
      <c r="H37" s="32" t="s">
        <v>135</v>
      </c>
      <c r="I37" s="33"/>
      <c r="J37" s="34"/>
      <c r="K37" s="35"/>
    </row>
    <row r="38" spans="1:11" ht="25" x14ac:dyDescent="0.35">
      <c r="A38" s="29">
        <v>33</v>
      </c>
      <c r="B38" s="29" t="s">
        <v>428</v>
      </c>
      <c r="C38" s="30" t="s">
        <v>956</v>
      </c>
      <c r="D38" s="29" t="s">
        <v>140</v>
      </c>
      <c r="E38" s="29">
        <v>1</v>
      </c>
      <c r="F38" s="30" t="s">
        <v>924</v>
      </c>
      <c r="G38" s="31">
        <v>0.3</v>
      </c>
      <c r="H38" s="32" t="s">
        <v>135</v>
      </c>
      <c r="I38" s="33"/>
      <c r="J38" s="34"/>
      <c r="K38" s="35"/>
    </row>
    <row r="39" spans="1:11" x14ac:dyDescent="0.35">
      <c r="A39" s="29">
        <v>34</v>
      </c>
      <c r="B39" s="29" t="s">
        <v>428</v>
      </c>
      <c r="C39" s="30" t="s">
        <v>957</v>
      </c>
      <c r="D39" s="29" t="s">
        <v>140</v>
      </c>
      <c r="E39" s="29">
        <v>1</v>
      </c>
      <c r="F39" s="30" t="s">
        <v>924</v>
      </c>
      <c r="G39" s="31">
        <v>0.3</v>
      </c>
      <c r="H39" s="32" t="s">
        <v>135</v>
      </c>
      <c r="I39" s="33"/>
      <c r="J39" s="34"/>
      <c r="K39" s="35"/>
    </row>
    <row r="40" spans="1:11" x14ac:dyDescent="0.35">
      <c r="A40" s="29">
        <v>35</v>
      </c>
      <c r="B40" s="29" t="s">
        <v>428</v>
      </c>
      <c r="C40" s="30" t="s">
        <v>958</v>
      </c>
      <c r="D40" s="29" t="s">
        <v>140</v>
      </c>
      <c r="E40" s="29">
        <v>1</v>
      </c>
      <c r="F40" s="30" t="s">
        <v>924</v>
      </c>
      <c r="G40" s="31">
        <v>0.3</v>
      </c>
      <c r="H40" s="32" t="s">
        <v>135</v>
      </c>
      <c r="I40" s="33"/>
      <c r="J40" s="34"/>
      <c r="K40" s="35"/>
    </row>
    <row r="41" spans="1:11" x14ac:dyDescent="0.35">
      <c r="A41" s="29">
        <v>36</v>
      </c>
      <c r="B41" s="29" t="s">
        <v>428</v>
      </c>
      <c r="C41" s="30" t="s">
        <v>959</v>
      </c>
      <c r="D41" s="29" t="s">
        <v>140</v>
      </c>
      <c r="E41" s="29">
        <v>1</v>
      </c>
      <c r="F41" s="30" t="s">
        <v>924</v>
      </c>
      <c r="G41" s="31">
        <v>0.3</v>
      </c>
      <c r="H41" s="32" t="s">
        <v>135</v>
      </c>
      <c r="I41" s="33"/>
      <c r="J41" s="34"/>
      <c r="K41" s="35"/>
    </row>
    <row r="42" spans="1:11" x14ac:dyDescent="0.35">
      <c r="A42" s="29">
        <v>37</v>
      </c>
      <c r="B42" s="29" t="s">
        <v>428</v>
      </c>
      <c r="C42" s="30" t="s">
        <v>960</v>
      </c>
      <c r="D42" s="29" t="s">
        <v>140</v>
      </c>
      <c r="E42" s="29">
        <v>1</v>
      </c>
      <c r="F42" s="30" t="s">
        <v>924</v>
      </c>
      <c r="G42" s="31">
        <v>0.3</v>
      </c>
      <c r="H42" s="32" t="s">
        <v>135</v>
      </c>
      <c r="I42" s="33"/>
      <c r="J42" s="34"/>
      <c r="K42" s="35"/>
    </row>
    <row r="43" spans="1:11" x14ac:dyDescent="0.35">
      <c r="A43" s="29">
        <v>38</v>
      </c>
      <c r="B43" s="29" t="s">
        <v>428</v>
      </c>
      <c r="C43" s="30" t="s">
        <v>961</v>
      </c>
      <c r="D43" s="29" t="s">
        <v>140</v>
      </c>
      <c r="E43" s="29">
        <v>1</v>
      </c>
      <c r="F43" s="30" t="s">
        <v>924</v>
      </c>
      <c r="G43" s="31">
        <v>0.3</v>
      </c>
      <c r="H43" s="32" t="s">
        <v>135</v>
      </c>
      <c r="I43" s="33"/>
      <c r="J43" s="34"/>
      <c r="K43" s="35"/>
    </row>
    <row r="44" spans="1:11" ht="25" x14ac:dyDescent="0.35">
      <c r="A44" s="29">
        <v>39</v>
      </c>
      <c r="B44" s="29" t="s">
        <v>428</v>
      </c>
      <c r="C44" s="30" t="s">
        <v>962</v>
      </c>
      <c r="D44" s="29" t="s">
        <v>140</v>
      </c>
      <c r="E44" s="29">
        <v>16</v>
      </c>
      <c r="F44" s="30" t="s">
        <v>933</v>
      </c>
      <c r="G44" s="31">
        <v>11</v>
      </c>
      <c r="H44" s="32" t="s">
        <v>135</v>
      </c>
      <c r="I44" s="33"/>
      <c r="J44" s="34"/>
      <c r="K44" s="35"/>
    </row>
    <row r="45" spans="1:11" x14ac:dyDescent="0.35">
      <c r="A45" s="29">
        <v>40</v>
      </c>
      <c r="B45" s="29" t="s">
        <v>428</v>
      </c>
      <c r="C45" s="30" t="s">
        <v>963</v>
      </c>
      <c r="D45" s="29" t="s">
        <v>650</v>
      </c>
      <c r="E45" s="29"/>
      <c r="F45" s="30"/>
      <c r="G45" s="31">
        <v>2.5</v>
      </c>
      <c r="H45" s="32" t="s">
        <v>135</v>
      </c>
      <c r="I45" s="33"/>
      <c r="J45" s="34"/>
      <c r="K45" s="35"/>
    </row>
    <row r="46" spans="1:11" x14ac:dyDescent="0.35">
      <c r="A46" s="29">
        <v>41</v>
      </c>
      <c r="B46" s="29" t="s">
        <v>428</v>
      </c>
      <c r="C46" s="30" t="s">
        <v>964</v>
      </c>
      <c r="D46" s="29" t="s">
        <v>650</v>
      </c>
      <c r="E46" s="29"/>
      <c r="F46" s="30"/>
      <c r="G46" s="31">
        <v>1</v>
      </c>
      <c r="H46" s="32" t="s">
        <v>135</v>
      </c>
      <c r="I46" s="33"/>
      <c r="J46" s="34"/>
      <c r="K46" s="35"/>
    </row>
    <row r="47" spans="1:11" ht="25" x14ac:dyDescent="0.35">
      <c r="A47" s="29">
        <v>42</v>
      </c>
      <c r="B47" s="29" t="s">
        <v>428</v>
      </c>
      <c r="C47" s="30" t="s">
        <v>965</v>
      </c>
      <c r="D47" s="29" t="s">
        <v>650</v>
      </c>
      <c r="E47" s="29"/>
      <c r="F47" s="30" t="s">
        <v>948</v>
      </c>
      <c r="G47" s="31">
        <v>8</v>
      </c>
      <c r="H47" s="32" t="s">
        <v>135</v>
      </c>
      <c r="I47" s="33"/>
      <c r="J47" s="34"/>
      <c r="K47" s="35"/>
    </row>
    <row r="48" spans="1:11" x14ac:dyDescent="0.35">
      <c r="A48" s="29">
        <v>43</v>
      </c>
      <c r="B48" s="29" t="s">
        <v>432</v>
      </c>
      <c r="C48" s="36" t="s">
        <v>966</v>
      </c>
      <c r="D48" s="29" t="s">
        <v>138</v>
      </c>
      <c r="E48" s="29"/>
      <c r="F48" s="30"/>
      <c r="G48" s="31">
        <v>7</v>
      </c>
      <c r="H48" s="32" t="s">
        <v>135</v>
      </c>
      <c r="I48" s="33"/>
      <c r="J48" s="34"/>
      <c r="K48" s="35"/>
    </row>
    <row r="49" spans="1:11" x14ac:dyDescent="0.35">
      <c r="A49" s="29">
        <v>44</v>
      </c>
      <c r="B49" s="29" t="s">
        <v>432</v>
      </c>
      <c r="C49" s="30" t="s">
        <v>967</v>
      </c>
      <c r="D49" s="29" t="s">
        <v>140</v>
      </c>
      <c r="E49" s="29">
        <v>1</v>
      </c>
      <c r="F49" s="30" t="s">
        <v>924</v>
      </c>
      <c r="G49" s="31">
        <v>0.3</v>
      </c>
      <c r="H49" s="32" t="s">
        <v>135</v>
      </c>
      <c r="I49" s="33"/>
      <c r="J49" s="34"/>
      <c r="K49" s="35"/>
    </row>
    <row r="50" spans="1:11" x14ac:dyDescent="0.35">
      <c r="A50" s="29">
        <v>45</v>
      </c>
      <c r="B50" s="29" t="s">
        <v>432</v>
      </c>
      <c r="C50" s="30" t="s">
        <v>968</v>
      </c>
      <c r="D50" s="29" t="s">
        <v>140</v>
      </c>
      <c r="E50" s="29">
        <v>1</v>
      </c>
      <c r="F50" s="30" t="s">
        <v>924</v>
      </c>
      <c r="G50" s="31">
        <v>0.3</v>
      </c>
      <c r="H50" s="32" t="s">
        <v>135</v>
      </c>
      <c r="I50" s="33"/>
      <c r="J50" s="34"/>
      <c r="K50" s="35"/>
    </row>
    <row r="51" spans="1:11" x14ac:dyDescent="0.35">
      <c r="A51" s="29">
        <v>46</v>
      </c>
      <c r="B51" s="29" t="s">
        <v>432</v>
      </c>
      <c r="C51" s="30" t="s">
        <v>969</v>
      </c>
      <c r="D51" s="29" t="s">
        <v>140</v>
      </c>
      <c r="E51" s="29">
        <v>1</v>
      </c>
      <c r="F51" s="30" t="s">
        <v>924</v>
      </c>
      <c r="G51" s="31">
        <v>0.3</v>
      </c>
      <c r="H51" s="32" t="s">
        <v>135</v>
      </c>
      <c r="I51" s="33"/>
      <c r="J51" s="34"/>
      <c r="K51" s="35"/>
    </row>
    <row r="52" spans="1:11" x14ac:dyDescent="0.35">
      <c r="A52" s="29">
        <v>47</v>
      </c>
      <c r="B52" s="29" t="s">
        <v>432</v>
      </c>
      <c r="C52" s="30" t="s">
        <v>970</v>
      </c>
      <c r="D52" s="29" t="s">
        <v>140</v>
      </c>
      <c r="E52" s="29">
        <v>1</v>
      </c>
      <c r="F52" s="30" t="s">
        <v>924</v>
      </c>
      <c r="G52" s="31">
        <v>0.3</v>
      </c>
      <c r="H52" s="32" t="s">
        <v>135</v>
      </c>
      <c r="I52" s="33"/>
      <c r="J52" s="34"/>
      <c r="K52" s="35"/>
    </row>
    <row r="53" spans="1:11" x14ac:dyDescent="0.35">
      <c r="A53" s="29">
        <v>48</v>
      </c>
      <c r="B53" s="29" t="s">
        <v>432</v>
      </c>
      <c r="C53" s="30" t="s">
        <v>971</v>
      </c>
      <c r="D53" s="29" t="s">
        <v>140</v>
      </c>
      <c r="E53" s="29">
        <v>1</v>
      </c>
      <c r="F53" s="30" t="s">
        <v>924</v>
      </c>
      <c r="G53" s="31">
        <v>0.3</v>
      </c>
      <c r="H53" s="32" t="s">
        <v>135</v>
      </c>
      <c r="I53" s="33"/>
      <c r="J53" s="34"/>
      <c r="K53" s="35"/>
    </row>
    <row r="54" spans="1:11" x14ac:dyDescent="0.35">
      <c r="A54" s="29">
        <v>49</v>
      </c>
      <c r="B54" s="29" t="s">
        <v>432</v>
      </c>
      <c r="C54" s="30" t="s">
        <v>972</v>
      </c>
      <c r="D54" s="29" t="s">
        <v>140</v>
      </c>
      <c r="E54" s="29">
        <v>1</v>
      </c>
      <c r="F54" s="30" t="s">
        <v>924</v>
      </c>
      <c r="G54" s="31">
        <v>0.3</v>
      </c>
      <c r="H54" s="32" t="s">
        <v>135</v>
      </c>
      <c r="I54" s="33"/>
      <c r="J54" s="34"/>
      <c r="K54" s="35"/>
    </row>
    <row r="55" spans="1:11" ht="25" x14ac:dyDescent="0.35">
      <c r="A55" s="29">
        <v>50</v>
      </c>
      <c r="B55" s="29" t="s">
        <v>432</v>
      </c>
      <c r="C55" s="30" t="s">
        <v>973</v>
      </c>
      <c r="D55" s="29" t="s">
        <v>140</v>
      </c>
      <c r="E55" s="29">
        <v>12</v>
      </c>
      <c r="F55" s="30" t="s">
        <v>933</v>
      </c>
      <c r="G55" s="31">
        <v>7</v>
      </c>
      <c r="H55" s="32" t="s">
        <v>135</v>
      </c>
      <c r="I55" s="33"/>
      <c r="J55" s="34"/>
      <c r="K55" s="35"/>
    </row>
    <row r="56" spans="1:11" x14ac:dyDescent="0.35">
      <c r="A56" s="29">
        <v>51</v>
      </c>
      <c r="B56" s="29" t="s">
        <v>432</v>
      </c>
      <c r="C56" s="30" t="s">
        <v>974</v>
      </c>
      <c r="D56" s="29" t="s">
        <v>650</v>
      </c>
      <c r="E56" s="29"/>
      <c r="F56" s="30"/>
      <c r="G56" s="31">
        <v>1.5</v>
      </c>
      <c r="H56" s="32" t="s">
        <v>135</v>
      </c>
      <c r="I56" s="33"/>
      <c r="J56" s="34"/>
      <c r="K56" s="35"/>
    </row>
    <row r="57" spans="1:11" x14ac:dyDescent="0.35">
      <c r="A57" s="29">
        <v>52</v>
      </c>
      <c r="B57" s="29" t="s">
        <v>432</v>
      </c>
      <c r="C57" s="30" t="s">
        <v>975</v>
      </c>
      <c r="D57" s="29" t="s">
        <v>650</v>
      </c>
      <c r="E57" s="29"/>
      <c r="F57" s="30"/>
      <c r="G57" s="31">
        <v>1</v>
      </c>
      <c r="H57" s="32" t="s">
        <v>135</v>
      </c>
      <c r="I57" s="33"/>
      <c r="J57" s="34"/>
      <c r="K57" s="35"/>
    </row>
    <row r="58" spans="1:11" x14ac:dyDescent="0.35">
      <c r="A58" s="29">
        <v>53</v>
      </c>
      <c r="B58" s="29" t="s">
        <v>432</v>
      </c>
      <c r="C58" s="30" t="s">
        <v>976</v>
      </c>
      <c r="D58" s="29" t="s">
        <v>650</v>
      </c>
      <c r="E58" s="29"/>
      <c r="F58" s="30"/>
      <c r="G58" s="31">
        <v>1</v>
      </c>
      <c r="H58" s="32" t="s">
        <v>135</v>
      </c>
      <c r="I58" s="33"/>
      <c r="J58" s="34"/>
      <c r="K58" s="35"/>
    </row>
    <row r="59" spans="1:11" x14ac:dyDescent="0.35">
      <c r="A59" s="29">
        <v>54</v>
      </c>
      <c r="B59" s="29" t="s">
        <v>432</v>
      </c>
      <c r="C59" s="30" t="s">
        <v>977</v>
      </c>
      <c r="D59" s="29" t="s">
        <v>650</v>
      </c>
      <c r="E59" s="29"/>
      <c r="F59" s="30" t="s">
        <v>948</v>
      </c>
      <c r="G59" s="31">
        <v>3</v>
      </c>
      <c r="H59" s="32" t="s">
        <v>135</v>
      </c>
      <c r="I59" s="33"/>
      <c r="J59" s="34"/>
      <c r="K59" s="35"/>
    </row>
    <row r="60" spans="1:11" x14ac:dyDescent="0.35">
      <c r="A60" s="29">
        <v>55</v>
      </c>
      <c r="B60" s="29" t="s">
        <v>436</v>
      </c>
      <c r="C60" s="36" t="s">
        <v>978</v>
      </c>
      <c r="D60" s="29" t="s">
        <v>138</v>
      </c>
      <c r="E60" s="29"/>
      <c r="F60" s="30"/>
      <c r="G60" s="31">
        <v>7</v>
      </c>
      <c r="H60" s="32" t="s">
        <v>135</v>
      </c>
      <c r="I60" s="33"/>
      <c r="J60" s="34"/>
      <c r="K60" s="35"/>
    </row>
    <row r="61" spans="1:11" x14ac:dyDescent="0.35">
      <c r="A61" s="29">
        <v>56</v>
      </c>
      <c r="B61" s="29" t="s">
        <v>436</v>
      </c>
      <c r="C61" s="30" t="s">
        <v>979</v>
      </c>
      <c r="D61" s="29" t="s">
        <v>140</v>
      </c>
      <c r="E61" s="29">
        <v>1</v>
      </c>
      <c r="F61" s="30" t="s">
        <v>924</v>
      </c>
      <c r="G61" s="31">
        <v>0.3</v>
      </c>
      <c r="H61" s="32" t="s">
        <v>135</v>
      </c>
      <c r="I61" s="33"/>
      <c r="J61" s="34"/>
      <c r="K61" s="35"/>
    </row>
    <row r="62" spans="1:11" ht="25" x14ac:dyDescent="0.35">
      <c r="A62" s="29">
        <v>57</v>
      </c>
      <c r="B62" s="29" t="s">
        <v>436</v>
      </c>
      <c r="C62" s="30" t="s">
        <v>980</v>
      </c>
      <c r="D62" s="29" t="s">
        <v>140</v>
      </c>
      <c r="E62" s="29">
        <v>1</v>
      </c>
      <c r="F62" s="30" t="s">
        <v>924</v>
      </c>
      <c r="G62" s="31">
        <v>0.3</v>
      </c>
      <c r="H62" s="32" t="s">
        <v>135</v>
      </c>
      <c r="I62" s="33"/>
      <c r="J62" s="34"/>
      <c r="K62" s="35"/>
    </row>
    <row r="63" spans="1:11" x14ac:dyDescent="0.35">
      <c r="A63" s="29">
        <v>58</v>
      </c>
      <c r="B63" s="29" t="s">
        <v>436</v>
      </c>
      <c r="C63" s="30" t="s">
        <v>981</v>
      </c>
      <c r="D63" s="29" t="s">
        <v>140</v>
      </c>
      <c r="E63" s="29">
        <v>1</v>
      </c>
      <c r="F63" s="30" t="s">
        <v>924</v>
      </c>
      <c r="G63" s="31">
        <v>0.3</v>
      </c>
      <c r="H63" s="32" t="s">
        <v>135</v>
      </c>
      <c r="I63" s="33"/>
      <c r="J63" s="34"/>
      <c r="K63" s="35"/>
    </row>
    <row r="64" spans="1:11" ht="25" x14ac:dyDescent="0.35">
      <c r="A64" s="29">
        <v>59</v>
      </c>
      <c r="B64" s="29" t="s">
        <v>436</v>
      </c>
      <c r="C64" s="30" t="s">
        <v>982</v>
      </c>
      <c r="D64" s="29" t="s">
        <v>140</v>
      </c>
      <c r="E64" s="29">
        <v>8</v>
      </c>
      <c r="F64" s="30" t="s">
        <v>933</v>
      </c>
      <c r="G64" s="31">
        <v>5</v>
      </c>
      <c r="H64" s="32" t="s">
        <v>135</v>
      </c>
      <c r="I64" s="33"/>
      <c r="J64" s="34"/>
      <c r="K64" s="35"/>
    </row>
    <row r="65" spans="1:11" x14ac:dyDescent="0.35">
      <c r="A65" s="29">
        <v>60</v>
      </c>
      <c r="B65" s="29" t="s">
        <v>440</v>
      </c>
      <c r="C65" s="36" t="s">
        <v>983</v>
      </c>
      <c r="D65" s="29" t="s">
        <v>138</v>
      </c>
      <c r="E65" s="29"/>
      <c r="F65" s="30"/>
      <c r="G65" s="31">
        <v>7</v>
      </c>
      <c r="H65" s="32" t="s">
        <v>135</v>
      </c>
      <c r="I65" s="33"/>
      <c r="J65" s="34"/>
      <c r="K65" s="35"/>
    </row>
    <row r="66" spans="1:11" x14ac:dyDescent="0.35">
      <c r="A66" s="29">
        <v>61</v>
      </c>
      <c r="B66" s="29" t="s">
        <v>440</v>
      </c>
      <c r="C66" s="30" t="s">
        <v>984</v>
      </c>
      <c r="D66" s="29" t="s">
        <v>140</v>
      </c>
      <c r="E66" s="29">
        <v>1</v>
      </c>
      <c r="F66" s="30" t="s">
        <v>924</v>
      </c>
      <c r="G66" s="31">
        <v>0.3</v>
      </c>
      <c r="H66" s="32" t="s">
        <v>135</v>
      </c>
      <c r="I66" s="33"/>
      <c r="J66" s="34"/>
      <c r="K66" s="35"/>
    </row>
    <row r="67" spans="1:11" x14ac:dyDescent="0.35">
      <c r="A67" s="29">
        <v>62</v>
      </c>
      <c r="B67" s="29" t="s">
        <v>440</v>
      </c>
      <c r="C67" s="30" t="s">
        <v>985</v>
      </c>
      <c r="D67" s="29" t="s">
        <v>140</v>
      </c>
      <c r="E67" s="29">
        <v>1</v>
      </c>
      <c r="F67" s="30" t="s">
        <v>924</v>
      </c>
      <c r="G67" s="31">
        <v>0.3</v>
      </c>
      <c r="H67" s="32" t="s">
        <v>135</v>
      </c>
      <c r="I67" s="33"/>
      <c r="J67" s="34"/>
      <c r="K67" s="35"/>
    </row>
    <row r="68" spans="1:11" x14ac:dyDescent="0.35">
      <c r="A68" s="29">
        <v>63</v>
      </c>
      <c r="B68" s="29" t="s">
        <v>440</v>
      </c>
      <c r="C68" s="30" t="s">
        <v>986</v>
      </c>
      <c r="D68" s="29" t="s">
        <v>140</v>
      </c>
      <c r="E68" s="29">
        <v>1</v>
      </c>
      <c r="F68" s="30" t="s">
        <v>924</v>
      </c>
      <c r="G68" s="31">
        <v>0.3</v>
      </c>
      <c r="H68" s="32" t="s">
        <v>135</v>
      </c>
      <c r="I68" s="33"/>
      <c r="J68" s="34"/>
      <c r="K68" s="35"/>
    </row>
    <row r="69" spans="1:11" x14ac:dyDescent="0.35">
      <c r="A69" s="29">
        <v>64</v>
      </c>
      <c r="B69" s="29" t="s">
        <v>440</v>
      </c>
      <c r="C69" s="30" t="s">
        <v>987</v>
      </c>
      <c r="D69" s="29" t="s">
        <v>140</v>
      </c>
      <c r="E69" s="29">
        <v>1</v>
      </c>
      <c r="F69" s="30" t="s">
        <v>924</v>
      </c>
      <c r="G69" s="31">
        <v>0.3</v>
      </c>
      <c r="H69" s="32" t="s">
        <v>135</v>
      </c>
      <c r="I69" s="33"/>
      <c r="J69" s="34"/>
      <c r="K69" s="35"/>
    </row>
    <row r="70" spans="1:11" ht="25" x14ac:dyDescent="0.35">
      <c r="A70" s="29">
        <v>65</v>
      </c>
      <c r="B70" s="29" t="s">
        <v>440</v>
      </c>
      <c r="C70" s="30" t="s">
        <v>988</v>
      </c>
      <c r="D70" s="29" t="s">
        <v>140</v>
      </c>
      <c r="E70" s="29">
        <v>1</v>
      </c>
      <c r="F70" s="30" t="s">
        <v>924</v>
      </c>
      <c r="G70" s="31">
        <v>0.3</v>
      </c>
      <c r="H70" s="32" t="s">
        <v>135</v>
      </c>
      <c r="I70" s="33"/>
      <c r="J70" s="34"/>
      <c r="K70" s="35"/>
    </row>
    <row r="71" spans="1:11" x14ac:dyDescent="0.35">
      <c r="A71" s="29">
        <v>66</v>
      </c>
      <c r="B71" s="29" t="s">
        <v>440</v>
      </c>
      <c r="C71" s="30" t="s">
        <v>989</v>
      </c>
      <c r="D71" s="29" t="s">
        <v>140</v>
      </c>
      <c r="E71" s="29">
        <v>1</v>
      </c>
      <c r="F71" s="30" t="s">
        <v>924</v>
      </c>
      <c r="G71" s="31">
        <v>0.3</v>
      </c>
      <c r="H71" s="32" t="s">
        <v>135</v>
      </c>
      <c r="I71" s="33"/>
      <c r="J71" s="34"/>
      <c r="K71" s="35"/>
    </row>
    <row r="72" spans="1:11" x14ac:dyDescent="0.35">
      <c r="A72" s="29">
        <v>67</v>
      </c>
      <c r="B72" s="29" t="s">
        <v>440</v>
      </c>
      <c r="C72" s="30" t="s">
        <v>990</v>
      </c>
      <c r="D72" s="29" t="s">
        <v>140</v>
      </c>
      <c r="E72" s="29">
        <v>1</v>
      </c>
      <c r="F72" s="30" t="s">
        <v>924</v>
      </c>
      <c r="G72" s="31">
        <v>0.3</v>
      </c>
      <c r="H72" s="32" t="s">
        <v>135</v>
      </c>
      <c r="I72" s="33"/>
      <c r="J72" s="34"/>
      <c r="K72" s="35"/>
    </row>
    <row r="73" spans="1:11" ht="25" x14ac:dyDescent="0.35">
      <c r="A73" s="29">
        <v>68</v>
      </c>
      <c r="B73" s="29" t="s">
        <v>440</v>
      </c>
      <c r="C73" s="30" t="s">
        <v>991</v>
      </c>
      <c r="D73" s="29" t="s">
        <v>140</v>
      </c>
      <c r="E73" s="29">
        <v>8</v>
      </c>
      <c r="F73" s="30" t="s">
        <v>933</v>
      </c>
      <c r="G73" s="31">
        <v>5</v>
      </c>
      <c r="H73" s="32" t="s">
        <v>135</v>
      </c>
      <c r="I73" s="33"/>
      <c r="J73" s="34"/>
      <c r="K73" s="35"/>
    </row>
    <row r="74" spans="1:11" x14ac:dyDescent="0.35">
      <c r="A74" s="29">
        <v>69</v>
      </c>
      <c r="B74" s="29" t="s">
        <v>440</v>
      </c>
      <c r="C74" s="30" t="s">
        <v>992</v>
      </c>
      <c r="D74" s="29" t="s">
        <v>650</v>
      </c>
      <c r="E74" s="29"/>
      <c r="F74" s="30"/>
      <c r="G74" s="31">
        <v>1.5</v>
      </c>
      <c r="H74" s="32" t="s">
        <v>135</v>
      </c>
      <c r="I74" s="33"/>
      <c r="J74" s="34"/>
      <c r="K74" s="35"/>
    </row>
    <row r="75" spans="1:11" x14ac:dyDescent="0.35">
      <c r="A75" s="29">
        <v>70</v>
      </c>
      <c r="B75" s="29" t="s">
        <v>444</v>
      </c>
      <c r="C75" s="36" t="s">
        <v>993</v>
      </c>
      <c r="D75" s="29" t="s">
        <v>138</v>
      </c>
      <c r="E75" s="29"/>
      <c r="F75" s="30"/>
      <c r="G75" s="31">
        <v>5</v>
      </c>
      <c r="H75" s="32" t="s">
        <v>135</v>
      </c>
      <c r="I75" s="33"/>
      <c r="J75" s="34"/>
      <c r="K75" s="35"/>
    </row>
    <row r="76" spans="1:11" x14ac:dyDescent="0.35">
      <c r="A76" s="29">
        <v>71</v>
      </c>
      <c r="B76" s="29" t="s">
        <v>444</v>
      </c>
      <c r="C76" s="30" t="s">
        <v>994</v>
      </c>
      <c r="D76" s="29" t="s">
        <v>140</v>
      </c>
      <c r="E76" s="29">
        <v>1</v>
      </c>
      <c r="F76" s="30" t="s">
        <v>924</v>
      </c>
      <c r="G76" s="31">
        <v>0.3</v>
      </c>
      <c r="H76" s="32" t="s">
        <v>135</v>
      </c>
      <c r="I76" s="33"/>
      <c r="J76" s="34"/>
      <c r="K76" s="35"/>
    </row>
    <row r="77" spans="1:11" x14ac:dyDescent="0.35">
      <c r="A77" s="29">
        <v>72</v>
      </c>
      <c r="B77" s="29" t="s">
        <v>444</v>
      </c>
      <c r="C77" s="30" t="s">
        <v>995</v>
      </c>
      <c r="D77" s="29" t="s">
        <v>140</v>
      </c>
      <c r="E77" s="29">
        <v>1</v>
      </c>
      <c r="F77" s="30" t="s">
        <v>924</v>
      </c>
      <c r="G77" s="31">
        <v>0.3</v>
      </c>
      <c r="H77" s="32" t="s">
        <v>135</v>
      </c>
      <c r="I77" s="33"/>
      <c r="J77" s="34"/>
      <c r="K77" s="35"/>
    </row>
    <row r="78" spans="1:11" x14ac:dyDescent="0.35">
      <c r="A78" s="29">
        <v>73</v>
      </c>
      <c r="B78" s="29" t="s">
        <v>444</v>
      </c>
      <c r="C78" s="30" t="s">
        <v>996</v>
      </c>
      <c r="D78" s="29" t="s">
        <v>140</v>
      </c>
      <c r="E78" s="29">
        <v>1</v>
      </c>
      <c r="F78" s="30" t="s">
        <v>924</v>
      </c>
      <c r="G78" s="31">
        <v>0.3</v>
      </c>
      <c r="H78" s="32" t="s">
        <v>135</v>
      </c>
      <c r="I78" s="33"/>
      <c r="J78" s="34"/>
      <c r="K78" s="35"/>
    </row>
    <row r="79" spans="1:11" x14ac:dyDescent="0.35">
      <c r="A79" s="29">
        <v>74</v>
      </c>
      <c r="B79" s="29" t="s">
        <v>444</v>
      </c>
      <c r="C79" s="30" t="s">
        <v>997</v>
      </c>
      <c r="D79" s="29" t="s">
        <v>140</v>
      </c>
      <c r="E79" s="29">
        <v>1</v>
      </c>
      <c r="F79" s="30" t="s">
        <v>924</v>
      </c>
      <c r="G79" s="31">
        <v>0.3</v>
      </c>
      <c r="H79" s="32" t="s">
        <v>135</v>
      </c>
      <c r="I79" s="33"/>
      <c r="J79" s="34"/>
      <c r="K79" s="35"/>
    </row>
    <row r="80" spans="1:11" ht="25" x14ac:dyDescent="0.35">
      <c r="A80" s="29">
        <v>75</v>
      </c>
      <c r="B80" s="29" t="s">
        <v>444</v>
      </c>
      <c r="C80" s="30" t="s">
        <v>998</v>
      </c>
      <c r="D80" s="29" t="s">
        <v>140</v>
      </c>
      <c r="E80" s="29">
        <v>4</v>
      </c>
      <c r="F80" s="30" t="s">
        <v>933</v>
      </c>
      <c r="G80" s="31">
        <v>2</v>
      </c>
      <c r="H80" s="32" t="s">
        <v>135</v>
      </c>
      <c r="I80" s="33"/>
      <c r="J80" s="34"/>
      <c r="K80" s="35"/>
    </row>
    <row r="81" spans="1:11" x14ac:dyDescent="0.35">
      <c r="A81" s="29">
        <v>76</v>
      </c>
      <c r="B81" s="29" t="s">
        <v>444</v>
      </c>
      <c r="C81" s="30" t="s">
        <v>999</v>
      </c>
      <c r="D81" s="29" t="s">
        <v>650</v>
      </c>
      <c r="E81" s="29"/>
      <c r="F81" s="30"/>
      <c r="G81" s="31">
        <v>1.5</v>
      </c>
      <c r="H81" s="32" t="s">
        <v>135</v>
      </c>
      <c r="I81" s="33"/>
      <c r="J81" s="34"/>
      <c r="K81" s="35"/>
    </row>
    <row r="82" spans="1:11" x14ac:dyDescent="0.35">
      <c r="A82" s="29">
        <v>77</v>
      </c>
      <c r="B82" s="29" t="s">
        <v>448</v>
      </c>
      <c r="C82" s="36" t="s">
        <v>1000</v>
      </c>
      <c r="D82" s="29" t="s">
        <v>138</v>
      </c>
      <c r="E82" s="29"/>
      <c r="F82" s="30" t="s">
        <v>1001</v>
      </c>
      <c r="G82" s="31">
        <v>5</v>
      </c>
      <c r="H82" s="32" t="s">
        <v>135</v>
      </c>
      <c r="I82" s="33"/>
      <c r="J82" s="34"/>
      <c r="K82" s="35"/>
    </row>
    <row r="83" spans="1:11" ht="25" x14ac:dyDescent="0.35">
      <c r="A83" s="29">
        <v>78</v>
      </c>
      <c r="B83" s="29" t="s">
        <v>448</v>
      </c>
      <c r="C83" s="30" t="s">
        <v>1002</v>
      </c>
      <c r="D83" s="29" t="s">
        <v>140</v>
      </c>
      <c r="E83" s="29">
        <v>6</v>
      </c>
      <c r="F83" s="30" t="s">
        <v>933</v>
      </c>
      <c r="G83" s="31">
        <v>4</v>
      </c>
      <c r="H83" s="32" t="s">
        <v>135</v>
      </c>
      <c r="I83" s="33"/>
      <c r="J83" s="34"/>
      <c r="K83" s="35"/>
    </row>
    <row r="84" spans="1:11" x14ac:dyDescent="0.35">
      <c r="A84" s="29">
        <v>79</v>
      </c>
      <c r="B84" s="29" t="s">
        <v>448</v>
      </c>
      <c r="C84" s="30" t="s">
        <v>1003</v>
      </c>
      <c r="D84" s="29" t="s">
        <v>650</v>
      </c>
      <c r="E84" s="29"/>
      <c r="F84" s="30"/>
      <c r="G84" s="31">
        <v>1.5</v>
      </c>
      <c r="H84" s="32" t="s">
        <v>135</v>
      </c>
      <c r="I84" s="33"/>
      <c r="J84" s="34"/>
      <c r="K84" s="35"/>
    </row>
    <row r="85" spans="1:11" ht="25" x14ac:dyDescent="0.35">
      <c r="A85" s="29">
        <v>80</v>
      </c>
      <c r="B85" s="29" t="s">
        <v>412</v>
      </c>
      <c r="C85" s="30" t="s">
        <v>413</v>
      </c>
      <c r="D85" s="29" t="s">
        <v>414</v>
      </c>
      <c r="E85" s="29"/>
      <c r="F85" s="30" t="s">
        <v>415</v>
      </c>
      <c r="G85" s="31">
        <v>10</v>
      </c>
      <c r="H85" s="32" t="s">
        <v>135</v>
      </c>
      <c r="I85" s="33"/>
      <c r="J85" s="34"/>
      <c r="K85" s="35"/>
    </row>
  </sheetData>
  <autoFilter ref="A5:K85" xr:uid="{00000000-0009-0000-0000-000008000000}"/>
  <mergeCells count="1">
    <mergeCell ref="A2:K2"/>
  </mergeCells>
  <conditionalFormatting sqref="A6:K85">
    <cfRule type="expression" dxfId="8" priority="2">
      <formula>$H6="Done"</formula>
    </cfRule>
    <cfRule type="expression" dxfId="7" priority="3">
      <formula>$H6="In progress"</formula>
    </cfRule>
    <cfRule type="expression" dxfId="6" priority="4">
      <formula>$H6="Skipped"</formula>
    </cfRule>
  </conditionalFormatting>
  <dataValidations count="1">
    <dataValidation type="list" allowBlank="1" errorTitle="Status" error="Pick a status from the list." sqref="H6:H500" xr:uid="{00000000-0002-0000-08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3"/>
  <sheetViews>
    <sheetView zoomScaleNormal="100" workbookViewId="0">
      <pane xSplit="3" ySplit="5" topLeftCell="D26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1004</v>
      </c>
    </row>
    <row r="2" spans="1:11" ht="42" customHeight="1" x14ac:dyDescent="0.35">
      <c r="A2" s="37" t="s">
        <v>1005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169.2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43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x14ac:dyDescent="0.35">
      <c r="A6" s="29">
        <v>1</v>
      </c>
      <c r="B6" s="29" t="s">
        <v>132</v>
      </c>
      <c r="C6" s="36" t="s">
        <v>1006</v>
      </c>
      <c r="D6" s="29" t="s">
        <v>138</v>
      </c>
      <c r="E6" s="29"/>
      <c r="F6" s="30" t="s">
        <v>1007</v>
      </c>
      <c r="G6" s="31">
        <v>6</v>
      </c>
      <c r="H6" s="32" t="s">
        <v>135</v>
      </c>
      <c r="I6" s="33"/>
      <c r="J6" s="34"/>
      <c r="K6" s="35"/>
    </row>
    <row r="7" spans="1:11" ht="25" x14ac:dyDescent="0.35">
      <c r="A7" s="29">
        <v>2</v>
      </c>
      <c r="B7" s="29" t="s">
        <v>132</v>
      </c>
      <c r="C7" s="30" t="s">
        <v>1008</v>
      </c>
      <c r="D7" s="29" t="s">
        <v>132</v>
      </c>
      <c r="E7" s="29"/>
      <c r="F7" s="30" t="s">
        <v>1009</v>
      </c>
      <c r="G7" s="31">
        <v>2</v>
      </c>
      <c r="H7" s="32" t="s">
        <v>135</v>
      </c>
      <c r="I7" s="33"/>
      <c r="J7" s="34"/>
      <c r="K7" s="35"/>
    </row>
    <row r="8" spans="1:11" x14ac:dyDescent="0.35">
      <c r="A8" s="29">
        <v>3</v>
      </c>
      <c r="B8" s="29" t="s">
        <v>1010</v>
      </c>
      <c r="C8" s="30" t="s">
        <v>1011</v>
      </c>
      <c r="D8" s="29" t="s">
        <v>650</v>
      </c>
      <c r="E8" s="29"/>
      <c r="F8" s="30" t="s">
        <v>1012</v>
      </c>
      <c r="G8" s="31">
        <v>10</v>
      </c>
      <c r="H8" s="32" t="s">
        <v>135</v>
      </c>
      <c r="I8" s="33"/>
      <c r="J8" s="34"/>
      <c r="K8" s="35"/>
    </row>
    <row r="9" spans="1:11" x14ac:dyDescent="0.35">
      <c r="A9" s="29">
        <v>4</v>
      </c>
      <c r="B9" s="29" t="s">
        <v>1013</v>
      </c>
      <c r="C9" s="36" t="s">
        <v>1014</v>
      </c>
      <c r="D9" s="29" t="s">
        <v>138</v>
      </c>
      <c r="E9" s="29"/>
      <c r="F9" s="30" t="s">
        <v>1015</v>
      </c>
      <c r="G9" s="31">
        <v>2</v>
      </c>
      <c r="H9" s="32" t="s">
        <v>135</v>
      </c>
      <c r="I9" s="33"/>
      <c r="J9" s="34"/>
      <c r="K9" s="35"/>
    </row>
    <row r="10" spans="1:11" x14ac:dyDescent="0.35">
      <c r="A10" s="29">
        <v>5</v>
      </c>
      <c r="B10" s="29" t="s">
        <v>1013</v>
      </c>
      <c r="C10" s="30" t="s">
        <v>1016</v>
      </c>
      <c r="D10" s="29" t="s">
        <v>140</v>
      </c>
      <c r="E10" s="29">
        <v>3</v>
      </c>
      <c r="F10" s="30" t="s">
        <v>1017</v>
      </c>
      <c r="G10" s="31">
        <v>1.2</v>
      </c>
      <c r="H10" s="32" t="s">
        <v>135</v>
      </c>
      <c r="I10" s="33"/>
      <c r="J10" s="34"/>
      <c r="K10" s="35"/>
    </row>
    <row r="11" spans="1:11" x14ac:dyDescent="0.35">
      <c r="A11" s="29">
        <v>6</v>
      </c>
      <c r="B11" s="29" t="s">
        <v>1018</v>
      </c>
      <c r="C11" s="36" t="s">
        <v>1019</v>
      </c>
      <c r="D11" s="29" t="s">
        <v>138</v>
      </c>
      <c r="E11" s="29"/>
      <c r="F11" s="30" t="s">
        <v>1015</v>
      </c>
      <c r="G11" s="31">
        <v>3</v>
      </c>
      <c r="H11" s="32" t="s">
        <v>135</v>
      </c>
      <c r="I11" s="33"/>
      <c r="J11" s="34"/>
      <c r="K11" s="35"/>
    </row>
    <row r="12" spans="1:11" x14ac:dyDescent="0.35">
      <c r="A12" s="29">
        <v>7</v>
      </c>
      <c r="B12" s="29" t="s">
        <v>1018</v>
      </c>
      <c r="C12" s="30" t="s">
        <v>1020</v>
      </c>
      <c r="D12" s="29" t="s">
        <v>140</v>
      </c>
      <c r="E12" s="29">
        <v>4</v>
      </c>
      <c r="F12" s="30" t="s">
        <v>1017</v>
      </c>
      <c r="G12" s="31">
        <v>1.6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1018</v>
      </c>
      <c r="C13" s="30" t="s">
        <v>1021</v>
      </c>
      <c r="D13" s="29" t="s">
        <v>650</v>
      </c>
      <c r="E13" s="29"/>
      <c r="F13" s="30" t="s">
        <v>1022</v>
      </c>
      <c r="G13" s="31">
        <v>18</v>
      </c>
      <c r="H13" s="32" t="s">
        <v>135</v>
      </c>
      <c r="I13" s="33"/>
      <c r="J13" s="34"/>
      <c r="K13" s="35"/>
    </row>
    <row r="14" spans="1:11" x14ac:dyDescent="0.35">
      <c r="A14" s="29">
        <v>9</v>
      </c>
      <c r="B14" s="29" t="s">
        <v>1023</v>
      </c>
      <c r="C14" s="36" t="s">
        <v>1024</v>
      </c>
      <c r="D14" s="29" t="s">
        <v>138</v>
      </c>
      <c r="E14" s="29"/>
      <c r="F14" s="30" t="s">
        <v>1015</v>
      </c>
      <c r="G14" s="31">
        <v>6</v>
      </c>
      <c r="H14" s="32" t="s">
        <v>135</v>
      </c>
      <c r="I14" s="33"/>
      <c r="J14" s="34"/>
      <c r="K14" s="35"/>
    </row>
    <row r="15" spans="1:11" x14ac:dyDescent="0.35">
      <c r="A15" s="29">
        <v>10</v>
      </c>
      <c r="B15" s="29" t="s">
        <v>1023</v>
      </c>
      <c r="C15" s="30" t="s">
        <v>1025</v>
      </c>
      <c r="D15" s="29" t="s">
        <v>140</v>
      </c>
      <c r="E15" s="29">
        <v>6</v>
      </c>
      <c r="F15" s="30" t="s">
        <v>1017</v>
      </c>
      <c r="G15" s="31">
        <v>2.4</v>
      </c>
      <c r="H15" s="32" t="s">
        <v>135</v>
      </c>
      <c r="I15" s="33"/>
      <c r="J15" s="34"/>
      <c r="K15" s="35"/>
    </row>
    <row r="16" spans="1:11" x14ac:dyDescent="0.35">
      <c r="A16" s="29">
        <v>11</v>
      </c>
      <c r="B16" s="29" t="s">
        <v>1023</v>
      </c>
      <c r="C16" s="30" t="s">
        <v>1026</v>
      </c>
      <c r="D16" s="29" t="s">
        <v>650</v>
      </c>
      <c r="E16" s="29"/>
      <c r="F16" s="30" t="s">
        <v>1022</v>
      </c>
      <c r="G16" s="31">
        <v>28</v>
      </c>
      <c r="H16" s="32" t="s">
        <v>135</v>
      </c>
      <c r="I16" s="33"/>
      <c r="J16" s="34"/>
      <c r="K16" s="35"/>
    </row>
    <row r="17" spans="1:11" x14ac:dyDescent="0.35">
      <c r="A17" s="29">
        <v>12</v>
      </c>
      <c r="B17" s="29" t="s">
        <v>1027</v>
      </c>
      <c r="C17" s="36" t="s">
        <v>1028</v>
      </c>
      <c r="D17" s="29" t="s">
        <v>138</v>
      </c>
      <c r="E17" s="29"/>
      <c r="F17" s="30" t="s">
        <v>1015</v>
      </c>
      <c r="G17" s="31">
        <v>5</v>
      </c>
      <c r="H17" s="32" t="s">
        <v>135</v>
      </c>
      <c r="I17" s="33"/>
      <c r="J17" s="34"/>
      <c r="K17" s="35"/>
    </row>
    <row r="18" spans="1:11" x14ac:dyDescent="0.35">
      <c r="A18" s="29">
        <v>13</v>
      </c>
      <c r="B18" s="29" t="s">
        <v>1027</v>
      </c>
      <c r="C18" s="30" t="s">
        <v>1029</v>
      </c>
      <c r="D18" s="29" t="s">
        <v>140</v>
      </c>
      <c r="E18" s="29">
        <v>5</v>
      </c>
      <c r="F18" s="30" t="s">
        <v>1017</v>
      </c>
      <c r="G18" s="31">
        <v>2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1030</v>
      </c>
      <c r="C19" s="36" t="s">
        <v>1031</v>
      </c>
      <c r="D19" s="29" t="s">
        <v>138</v>
      </c>
      <c r="E19" s="29"/>
      <c r="F19" s="30" t="s">
        <v>1015</v>
      </c>
      <c r="G19" s="31">
        <v>5</v>
      </c>
      <c r="H19" s="32" t="s">
        <v>135</v>
      </c>
      <c r="I19" s="33"/>
      <c r="J19" s="34"/>
      <c r="K19" s="35"/>
    </row>
    <row r="20" spans="1:11" x14ac:dyDescent="0.35">
      <c r="A20" s="29">
        <v>15</v>
      </c>
      <c r="B20" s="29" t="s">
        <v>1030</v>
      </c>
      <c r="C20" s="30" t="s">
        <v>1032</v>
      </c>
      <c r="D20" s="29" t="s">
        <v>140</v>
      </c>
      <c r="E20" s="29">
        <v>4</v>
      </c>
      <c r="F20" s="30" t="s">
        <v>1017</v>
      </c>
      <c r="G20" s="31">
        <v>1.6</v>
      </c>
      <c r="H20" s="32" t="s">
        <v>135</v>
      </c>
      <c r="I20" s="33"/>
      <c r="J20" s="34"/>
      <c r="K20" s="35"/>
    </row>
    <row r="21" spans="1:11" x14ac:dyDescent="0.35">
      <c r="A21" s="29">
        <v>16</v>
      </c>
      <c r="B21" s="29" t="s">
        <v>1030</v>
      </c>
      <c r="C21" s="30" t="s">
        <v>1033</v>
      </c>
      <c r="D21" s="29" t="s">
        <v>650</v>
      </c>
      <c r="E21" s="29"/>
      <c r="F21" s="30" t="s">
        <v>1022</v>
      </c>
      <c r="G21" s="31">
        <v>28</v>
      </c>
      <c r="H21" s="32" t="s">
        <v>135</v>
      </c>
      <c r="I21" s="33"/>
      <c r="J21" s="34"/>
      <c r="K21" s="35"/>
    </row>
    <row r="22" spans="1:11" x14ac:dyDescent="0.35">
      <c r="A22" s="29">
        <v>17</v>
      </c>
      <c r="B22" s="29" t="s">
        <v>1034</v>
      </c>
      <c r="C22" s="36" t="s">
        <v>1035</v>
      </c>
      <c r="D22" s="29" t="s">
        <v>138</v>
      </c>
      <c r="E22" s="29"/>
      <c r="F22" s="30" t="s">
        <v>1015</v>
      </c>
      <c r="G22" s="31">
        <v>4</v>
      </c>
      <c r="H22" s="32" t="s">
        <v>135</v>
      </c>
      <c r="I22" s="33"/>
      <c r="J22" s="34"/>
      <c r="K22" s="35"/>
    </row>
    <row r="23" spans="1:11" x14ac:dyDescent="0.35">
      <c r="A23" s="29">
        <v>18</v>
      </c>
      <c r="B23" s="29" t="s">
        <v>1034</v>
      </c>
      <c r="C23" s="30" t="s">
        <v>1036</v>
      </c>
      <c r="D23" s="29" t="s">
        <v>140</v>
      </c>
      <c r="E23" s="29">
        <v>5</v>
      </c>
      <c r="F23" s="30" t="s">
        <v>1017</v>
      </c>
      <c r="G23" s="31">
        <v>2</v>
      </c>
      <c r="H23" s="32" t="s">
        <v>135</v>
      </c>
      <c r="I23" s="33"/>
      <c r="J23" s="34"/>
      <c r="K23" s="35"/>
    </row>
    <row r="24" spans="1:11" x14ac:dyDescent="0.35">
      <c r="A24" s="29">
        <v>19</v>
      </c>
      <c r="B24" s="29" t="s">
        <v>1037</v>
      </c>
      <c r="C24" s="36" t="s">
        <v>1038</v>
      </c>
      <c r="D24" s="29" t="s">
        <v>138</v>
      </c>
      <c r="E24" s="29"/>
      <c r="F24" s="30" t="s">
        <v>1015</v>
      </c>
      <c r="G24" s="31">
        <v>6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1037</v>
      </c>
      <c r="C25" s="30" t="s">
        <v>1039</v>
      </c>
      <c r="D25" s="29" t="s">
        <v>140</v>
      </c>
      <c r="E25" s="29">
        <v>6</v>
      </c>
      <c r="F25" s="30" t="s">
        <v>1017</v>
      </c>
      <c r="G25" s="31">
        <v>2.4</v>
      </c>
      <c r="H25" s="32" t="s">
        <v>135</v>
      </c>
      <c r="I25" s="33"/>
      <c r="J25" s="34"/>
      <c r="K25" s="35"/>
    </row>
    <row r="26" spans="1:11" x14ac:dyDescent="0.35">
      <c r="A26" s="29">
        <v>21</v>
      </c>
      <c r="B26" s="29" t="s">
        <v>1040</v>
      </c>
      <c r="C26" s="36" t="s">
        <v>1041</v>
      </c>
      <c r="D26" s="29" t="s">
        <v>138</v>
      </c>
      <c r="E26" s="29"/>
      <c r="F26" s="30" t="s">
        <v>1015</v>
      </c>
      <c r="G26" s="31">
        <v>6</v>
      </c>
      <c r="H26" s="32" t="s">
        <v>135</v>
      </c>
      <c r="I26" s="33"/>
      <c r="J26" s="34"/>
      <c r="K26" s="35"/>
    </row>
    <row r="27" spans="1:11" x14ac:dyDescent="0.35">
      <c r="A27" s="29">
        <v>22</v>
      </c>
      <c r="B27" s="29" t="s">
        <v>1040</v>
      </c>
      <c r="C27" s="30" t="s">
        <v>1042</v>
      </c>
      <c r="D27" s="29" t="s">
        <v>140</v>
      </c>
      <c r="E27" s="29">
        <v>5</v>
      </c>
      <c r="F27" s="30" t="s">
        <v>1017</v>
      </c>
      <c r="G27" s="31">
        <v>2</v>
      </c>
      <c r="H27" s="32" t="s">
        <v>135</v>
      </c>
      <c r="I27" s="33"/>
      <c r="J27" s="34"/>
      <c r="K27" s="35"/>
    </row>
    <row r="28" spans="1:11" x14ac:dyDescent="0.35">
      <c r="A28" s="29">
        <v>23</v>
      </c>
      <c r="B28" s="29" t="s">
        <v>1043</v>
      </c>
      <c r="C28" s="30" t="s">
        <v>1044</v>
      </c>
      <c r="D28" s="29" t="s">
        <v>140</v>
      </c>
      <c r="E28" s="29">
        <v>1</v>
      </c>
      <c r="F28" s="30" t="s">
        <v>1045</v>
      </c>
      <c r="G28" s="31">
        <v>3</v>
      </c>
      <c r="H28" s="32" t="s">
        <v>135</v>
      </c>
      <c r="I28" s="33"/>
      <c r="J28" s="34"/>
      <c r="K28" s="35"/>
    </row>
    <row r="29" spans="1:11" ht="25" x14ac:dyDescent="0.35">
      <c r="A29" s="29">
        <v>24</v>
      </c>
      <c r="B29" s="29" t="s">
        <v>1043</v>
      </c>
      <c r="C29" s="30" t="s">
        <v>1046</v>
      </c>
      <c r="D29" s="29" t="s">
        <v>140</v>
      </c>
      <c r="E29" s="29">
        <v>1</v>
      </c>
      <c r="F29" s="30" t="s">
        <v>1045</v>
      </c>
      <c r="G29" s="31">
        <v>3</v>
      </c>
      <c r="H29" s="32" t="s">
        <v>135</v>
      </c>
      <c r="I29" s="33"/>
      <c r="J29" s="34"/>
      <c r="K29" s="35"/>
    </row>
    <row r="30" spans="1:11" ht="25" x14ac:dyDescent="0.35">
      <c r="A30" s="29">
        <v>25</v>
      </c>
      <c r="B30" s="29" t="s">
        <v>1043</v>
      </c>
      <c r="C30" s="30" t="s">
        <v>1047</v>
      </c>
      <c r="D30" s="29" t="s">
        <v>140</v>
      </c>
      <c r="E30" s="29">
        <v>1</v>
      </c>
      <c r="F30" s="30" t="s">
        <v>1045</v>
      </c>
      <c r="G30" s="31">
        <v>3</v>
      </c>
      <c r="H30" s="32" t="s">
        <v>135</v>
      </c>
      <c r="I30" s="33"/>
      <c r="J30" s="34"/>
      <c r="K30" s="35"/>
    </row>
    <row r="31" spans="1:11" ht="25" x14ac:dyDescent="0.35">
      <c r="A31" s="29">
        <v>26</v>
      </c>
      <c r="B31" s="29" t="s">
        <v>1043</v>
      </c>
      <c r="C31" s="30" t="s">
        <v>1048</v>
      </c>
      <c r="D31" s="29" t="s">
        <v>140</v>
      </c>
      <c r="E31" s="29">
        <v>1</v>
      </c>
      <c r="F31" s="30" t="s">
        <v>1045</v>
      </c>
      <c r="G31" s="31">
        <v>3</v>
      </c>
      <c r="H31" s="32" t="s">
        <v>135</v>
      </c>
      <c r="I31" s="33"/>
      <c r="J31" s="34"/>
      <c r="K31" s="35"/>
    </row>
    <row r="32" spans="1:11" ht="25" x14ac:dyDescent="0.35">
      <c r="A32" s="29">
        <v>27</v>
      </c>
      <c r="B32" s="29" t="s">
        <v>1043</v>
      </c>
      <c r="C32" s="30" t="s">
        <v>1049</v>
      </c>
      <c r="D32" s="29" t="s">
        <v>140</v>
      </c>
      <c r="E32" s="29">
        <v>1</v>
      </c>
      <c r="F32" s="30" t="s">
        <v>1045</v>
      </c>
      <c r="G32" s="31">
        <v>3</v>
      </c>
      <c r="H32" s="32" t="s">
        <v>135</v>
      </c>
      <c r="I32" s="33"/>
      <c r="J32" s="34"/>
      <c r="K32" s="35"/>
    </row>
    <row r="33" spans="1:11" ht="25" x14ac:dyDescent="0.35">
      <c r="A33" s="29">
        <v>28</v>
      </c>
      <c r="B33" s="29" t="s">
        <v>412</v>
      </c>
      <c r="C33" s="30" t="s">
        <v>413</v>
      </c>
      <c r="D33" s="29" t="s">
        <v>414</v>
      </c>
      <c r="E33" s="29"/>
      <c r="F33" s="30" t="s">
        <v>415</v>
      </c>
      <c r="G33" s="31">
        <v>10</v>
      </c>
      <c r="H33" s="32" t="s">
        <v>135</v>
      </c>
      <c r="I33" s="33"/>
      <c r="J33" s="34"/>
      <c r="K33" s="35"/>
    </row>
  </sheetData>
  <autoFilter ref="A5:K33" xr:uid="{00000000-0009-0000-0000-000009000000}"/>
  <mergeCells count="1">
    <mergeCell ref="A2:K2"/>
  </mergeCells>
  <conditionalFormatting sqref="A6:K33">
    <cfRule type="expression" dxfId="5" priority="2">
      <formula>$H6="Done"</formula>
    </cfRule>
    <cfRule type="expression" dxfId="4" priority="3">
      <formula>$H6="In progress"</formula>
    </cfRule>
    <cfRule type="expression" dxfId="3" priority="4">
      <formula>$H6="Skipped"</formula>
    </cfRule>
  </conditionalFormatting>
  <dataValidations count="1">
    <dataValidation type="list" allowBlank="1" errorTitle="Status" error="Pick a status from the list." sqref="H6:H500" xr:uid="{00000000-0002-0000-09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8"/>
  <sheetViews>
    <sheetView zoomScaleNormal="100" workbookViewId="0">
      <pane xSplit="3" ySplit="5" topLeftCell="D22" activePane="bottomRight" state="frozen"/>
      <selection pane="topRight" activeCell="D1" sqref="D1"/>
      <selection pane="bottomLeft" activeCell="A6" sqref="A6"/>
      <selection pane="bottomRight"/>
    </sheetView>
  </sheetViews>
  <sheetFormatPr defaultColWidth="8.6328125" defaultRowHeight="14.5" x14ac:dyDescent="0.35"/>
  <cols>
    <col min="1" max="1" width="5" customWidth="1"/>
    <col min="2" max="2" width="16" customWidth="1"/>
    <col min="3" max="3" width="44" customWidth="1"/>
    <col min="4" max="4" width="12" customWidth="1"/>
    <col min="5" max="5" width="6" customWidth="1"/>
    <col min="6" max="6" width="70" customWidth="1"/>
    <col min="7" max="7" width="9" customWidth="1"/>
    <col min="8" max="8" width="13" customWidth="1"/>
    <col min="9" max="9" width="12" customWidth="1"/>
    <col min="10" max="10" width="10" customWidth="1"/>
    <col min="11" max="11" width="36" customWidth="1"/>
  </cols>
  <sheetData>
    <row r="1" spans="1:11" ht="18" x14ac:dyDescent="0.4">
      <c r="A1" s="24" t="s">
        <v>1050</v>
      </c>
    </row>
    <row r="2" spans="1:11" ht="42" customHeight="1" x14ac:dyDescent="0.35">
      <c r="A2" s="37" t="s">
        <v>1051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35">
      <c r="A3" s="25" t="s">
        <v>11</v>
      </c>
      <c r="B3" s="26">
        <f>SUM($G$6:$G$500)-SUMIFS($G$6:$G$500,$H$6:$H$500,"Skipped")</f>
        <v>167</v>
      </c>
      <c r="C3" s="25" t="s">
        <v>12</v>
      </c>
      <c r="D3" s="26">
        <f>SUMIFS($G$6:$G$500,$H$6:$H$500,"Done")</f>
        <v>0</v>
      </c>
      <c r="E3" s="25" t="s">
        <v>13</v>
      </c>
      <c r="F3" s="27">
        <f>IF(B3=0,0,D3/B3)</f>
        <v>0</v>
      </c>
      <c r="G3" s="25" t="s">
        <v>6</v>
      </c>
      <c r="H3" s="28">
        <f>SUMIFS($E$6:$E$500,$D$6:$D$500,"Exercise",$H$6:$H$500,"Done")</f>
        <v>0</v>
      </c>
      <c r="I3" s="25" t="s">
        <v>123</v>
      </c>
      <c r="J3" s="28">
        <f>SUMIFS($E$6:$E$500,$D$6:$D$500,"Exercise")-SUMIFS($E$6:$E$500,$D$6:$D$500,"Exercise",$H$6:$H$500,"Skipped")</f>
        <v>0</v>
      </c>
    </row>
    <row r="5" spans="1:11" x14ac:dyDescent="0.35">
      <c r="A5" s="6" t="s">
        <v>8</v>
      </c>
      <c r="B5" s="6" t="s">
        <v>124</v>
      </c>
      <c r="C5" s="6" t="s">
        <v>125</v>
      </c>
      <c r="D5" s="6" t="s">
        <v>126</v>
      </c>
      <c r="E5" s="6" t="s">
        <v>127</v>
      </c>
      <c r="F5" s="6" t="s">
        <v>128</v>
      </c>
      <c r="G5" s="6" t="s">
        <v>129</v>
      </c>
      <c r="H5" s="6" t="s">
        <v>19</v>
      </c>
      <c r="I5" s="6" t="s">
        <v>130</v>
      </c>
      <c r="J5" s="6" t="s">
        <v>16</v>
      </c>
      <c r="K5" s="6" t="s">
        <v>131</v>
      </c>
    </row>
    <row r="6" spans="1:11" x14ac:dyDescent="0.35">
      <c r="A6" s="29">
        <v>1</v>
      </c>
      <c r="B6" s="29" t="s">
        <v>132</v>
      </c>
      <c r="C6" s="30" t="s">
        <v>1052</v>
      </c>
      <c r="D6" s="29" t="s">
        <v>132</v>
      </c>
      <c r="E6" s="29"/>
      <c r="F6" s="30" t="s">
        <v>1053</v>
      </c>
      <c r="G6" s="31">
        <v>5</v>
      </c>
      <c r="H6" s="32" t="s">
        <v>135</v>
      </c>
      <c r="I6" s="33"/>
      <c r="J6" s="34"/>
      <c r="K6" s="35"/>
    </row>
    <row r="7" spans="1:11" ht="26" x14ac:dyDescent="0.35">
      <c r="A7" s="29">
        <v>2</v>
      </c>
      <c r="B7" s="29" t="s">
        <v>1054</v>
      </c>
      <c r="C7" s="36" t="s">
        <v>1055</v>
      </c>
      <c r="D7" s="29" t="s">
        <v>138</v>
      </c>
      <c r="E7" s="29"/>
      <c r="F7" s="30"/>
      <c r="G7" s="31">
        <v>2.5</v>
      </c>
      <c r="H7" s="32" t="s">
        <v>135</v>
      </c>
      <c r="I7" s="33"/>
      <c r="J7" s="34"/>
      <c r="K7" s="35"/>
    </row>
    <row r="8" spans="1:11" ht="26" x14ac:dyDescent="0.35">
      <c r="A8" s="29">
        <v>3</v>
      </c>
      <c r="B8" s="29" t="s">
        <v>1056</v>
      </c>
      <c r="C8" s="36" t="s">
        <v>1057</v>
      </c>
      <c r="D8" s="29" t="s">
        <v>138</v>
      </c>
      <c r="E8" s="29"/>
      <c r="F8" s="30"/>
      <c r="G8" s="31">
        <v>3</v>
      </c>
      <c r="H8" s="32" t="s">
        <v>135</v>
      </c>
      <c r="I8" s="33"/>
      <c r="J8" s="34"/>
      <c r="K8" s="35"/>
    </row>
    <row r="9" spans="1:11" ht="26" x14ac:dyDescent="0.35">
      <c r="A9" s="29">
        <v>4</v>
      </c>
      <c r="B9" s="29" t="s">
        <v>1058</v>
      </c>
      <c r="C9" s="36" t="s">
        <v>1059</v>
      </c>
      <c r="D9" s="29" t="s">
        <v>138</v>
      </c>
      <c r="E9" s="29"/>
      <c r="F9" s="30"/>
      <c r="G9" s="31">
        <v>4</v>
      </c>
      <c r="H9" s="32" t="s">
        <v>135</v>
      </c>
      <c r="I9" s="33"/>
      <c r="J9" s="34"/>
      <c r="K9" s="35"/>
    </row>
    <row r="10" spans="1:11" ht="25" x14ac:dyDescent="0.35">
      <c r="A10" s="29">
        <v>5</v>
      </c>
      <c r="B10" s="29" t="s">
        <v>1060</v>
      </c>
      <c r="C10" s="36" t="s">
        <v>1061</v>
      </c>
      <c r="D10" s="29" t="s">
        <v>138</v>
      </c>
      <c r="E10" s="29"/>
      <c r="F10" s="30" t="s">
        <v>1062</v>
      </c>
      <c r="G10" s="31">
        <v>3</v>
      </c>
      <c r="H10" s="32" t="s">
        <v>135</v>
      </c>
      <c r="I10" s="33"/>
      <c r="J10" s="34"/>
      <c r="K10" s="35"/>
    </row>
    <row r="11" spans="1:11" x14ac:dyDescent="0.35">
      <c r="A11" s="29">
        <v>6</v>
      </c>
      <c r="B11" s="29" t="s">
        <v>1063</v>
      </c>
      <c r="C11" s="36" t="s">
        <v>1064</v>
      </c>
      <c r="D11" s="29" t="s">
        <v>138</v>
      </c>
      <c r="E11" s="29"/>
      <c r="F11" s="30"/>
      <c r="G11" s="31">
        <v>3.5</v>
      </c>
      <c r="H11" s="32" t="s">
        <v>135</v>
      </c>
      <c r="I11" s="33"/>
      <c r="J11" s="34"/>
      <c r="K11" s="35"/>
    </row>
    <row r="12" spans="1:11" x14ac:dyDescent="0.35">
      <c r="A12" s="29">
        <v>7</v>
      </c>
      <c r="B12" s="29" t="s">
        <v>1065</v>
      </c>
      <c r="C12" s="30" t="s">
        <v>1066</v>
      </c>
      <c r="D12" s="29" t="s">
        <v>650</v>
      </c>
      <c r="E12" s="29"/>
      <c r="F12" s="30" t="s">
        <v>1067</v>
      </c>
      <c r="G12" s="31">
        <v>1</v>
      </c>
      <c r="H12" s="32" t="s">
        <v>135</v>
      </c>
      <c r="I12" s="33"/>
      <c r="J12" s="34"/>
      <c r="K12" s="35"/>
    </row>
    <row r="13" spans="1:11" x14ac:dyDescent="0.35">
      <c r="A13" s="29">
        <v>8</v>
      </c>
      <c r="B13" s="29" t="s">
        <v>1065</v>
      </c>
      <c r="C13" s="30" t="s">
        <v>1068</v>
      </c>
      <c r="D13" s="29" t="s">
        <v>650</v>
      </c>
      <c r="E13" s="29"/>
      <c r="F13" s="30"/>
      <c r="G13" s="31">
        <v>1.5</v>
      </c>
      <c r="H13" s="32" t="s">
        <v>135</v>
      </c>
      <c r="I13" s="33"/>
      <c r="J13" s="34"/>
      <c r="K13" s="35"/>
    </row>
    <row r="14" spans="1:11" x14ac:dyDescent="0.35">
      <c r="A14" s="29">
        <v>9</v>
      </c>
      <c r="B14" s="29" t="s">
        <v>1069</v>
      </c>
      <c r="C14" s="36" t="s">
        <v>1070</v>
      </c>
      <c r="D14" s="29" t="s">
        <v>138</v>
      </c>
      <c r="E14" s="29"/>
      <c r="F14" s="30"/>
      <c r="G14" s="31">
        <v>5</v>
      </c>
      <c r="H14" s="32" t="s">
        <v>135</v>
      </c>
      <c r="I14" s="33"/>
      <c r="J14" s="34"/>
      <c r="K14" s="35"/>
    </row>
    <row r="15" spans="1:11" x14ac:dyDescent="0.35">
      <c r="A15" s="29">
        <v>10</v>
      </c>
      <c r="B15" s="29" t="s">
        <v>1071</v>
      </c>
      <c r="C15" s="36" t="s">
        <v>1072</v>
      </c>
      <c r="D15" s="29" t="s">
        <v>138</v>
      </c>
      <c r="E15" s="29"/>
      <c r="F15" s="30"/>
      <c r="G15" s="31">
        <v>3.5</v>
      </c>
      <c r="H15" s="32" t="s">
        <v>135</v>
      </c>
      <c r="I15" s="33"/>
      <c r="J15" s="34"/>
      <c r="K15" s="35"/>
    </row>
    <row r="16" spans="1:11" x14ac:dyDescent="0.35">
      <c r="A16" s="29">
        <v>11</v>
      </c>
      <c r="B16" s="29" t="s">
        <v>1065</v>
      </c>
      <c r="C16" s="30" t="s">
        <v>1073</v>
      </c>
      <c r="D16" s="29" t="s">
        <v>650</v>
      </c>
      <c r="E16" s="29"/>
      <c r="F16" s="30" t="s">
        <v>1074</v>
      </c>
      <c r="G16" s="31">
        <v>8</v>
      </c>
      <c r="H16" s="32" t="s">
        <v>135</v>
      </c>
      <c r="I16" s="33"/>
      <c r="J16" s="34"/>
      <c r="K16" s="35"/>
    </row>
    <row r="17" spans="1:11" ht="25" x14ac:dyDescent="0.35">
      <c r="A17" s="29">
        <v>12</v>
      </c>
      <c r="B17" s="29" t="s">
        <v>1075</v>
      </c>
      <c r="C17" s="36" t="s">
        <v>1076</v>
      </c>
      <c r="D17" s="29" t="s">
        <v>138</v>
      </c>
      <c r="E17" s="29"/>
      <c r="F17" s="30" t="s">
        <v>1077</v>
      </c>
      <c r="G17" s="31">
        <v>3.5</v>
      </c>
      <c r="H17" s="32" t="s">
        <v>135</v>
      </c>
      <c r="I17" s="33"/>
      <c r="J17" s="34"/>
      <c r="K17" s="35"/>
    </row>
    <row r="18" spans="1:11" x14ac:dyDescent="0.35">
      <c r="A18" s="29">
        <v>13</v>
      </c>
      <c r="B18" s="29" t="s">
        <v>1065</v>
      </c>
      <c r="C18" s="30" t="s">
        <v>1078</v>
      </c>
      <c r="D18" s="29" t="s">
        <v>650</v>
      </c>
      <c r="E18" s="29"/>
      <c r="F18" s="30" t="s">
        <v>1079</v>
      </c>
      <c r="G18" s="31">
        <v>3</v>
      </c>
      <c r="H18" s="32" t="s">
        <v>135</v>
      </c>
      <c r="I18" s="33"/>
      <c r="J18" s="34"/>
      <c r="K18" s="35"/>
    </row>
    <row r="19" spans="1:11" x14ac:dyDescent="0.35">
      <c r="A19" s="29">
        <v>14</v>
      </c>
      <c r="B19" s="29" t="s">
        <v>1065</v>
      </c>
      <c r="C19" s="30" t="s">
        <v>1080</v>
      </c>
      <c r="D19" s="29" t="s">
        <v>650</v>
      </c>
      <c r="E19" s="29"/>
      <c r="F19" s="30"/>
      <c r="G19" s="31">
        <v>7</v>
      </c>
      <c r="H19" s="32" t="s">
        <v>135</v>
      </c>
      <c r="I19" s="33"/>
      <c r="J19" s="34"/>
      <c r="K19" s="35"/>
    </row>
    <row r="20" spans="1:11" x14ac:dyDescent="0.35">
      <c r="A20" s="29">
        <v>15</v>
      </c>
      <c r="B20" s="29" t="s">
        <v>1065</v>
      </c>
      <c r="C20" s="30" t="s">
        <v>1081</v>
      </c>
      <c r="D20" s="29" t="s">
        <v>650</v>
      </c>
      <c r="E20" s="29"/>
      <c r="F20" s="30" t="s">
        <v>1082</v>
      </c>
      <c r="G20" s="31">
        <v>6</v>
      </c>
      <c r="H20" s="32" t="s">
        <v>135</v>
      </c>
      <c r="I20" s="33"/>
      <c r="J20" s="34"/>
      <c r="K20" s="35"/>
    </row>
    <row r="21" spans="1:11" ht="26" x14ac:dyDescent="0.35">
      <c r="A21" s="29">
        <v>16</v>
      </c>
      <c r="B21" s="29" t="s">
        <v>1083</v>
      </c>
      <c r="C21" s="36" t="s">
        <v>1084</v>
      </c>
      <c r="D21" s="29" t="s">
        <v>138</v>
      </c>
      <c r="E21" s="29"/>
      <c r="F21" s="30"/>
      <c r="G21" s="31">
        <v>5</v>
      </c>
      <c r="H21" s="32" t="s">
        <v>135</v>
      </c>
      <c r="I21" s="33"/>
      <c r="J21" s="34"/>
      <c r="K21" s="35"/>
    </row>
    <row r="22" spans="1:11" x14ac:dyDescent="0.35">
      <c r="A22" s="29">
        <v>17</v>
      </c>
      <c r="B22" s="29" t="s">
        <v>1085</v>
      </c>
      <c r="C22" s="36" t="s">
        <v>1086</v>
      </c>
      <c r="D22" s="29" t="s">
        <v>138</v>
      </c>
      <c r="E22" s="29"/>
      <c r="F22" s="30"/>
      <c r="G22" s="31">
        <v>5.5</v>
      </c>
      <c r="H22" s="32" t="s">
        <v>135</v>
      </c>
      <c r="I22" s="33"/>
      <c r="J22" s="34"/>
      <c r="K22" s="35"/>
    </row>
    <row r="23" spans="1:11" x14ac:dyDescent="0.35">
      <c r="A23" s="29">
        <v>18</v>
      </c>
      <c r="B23" s="29" t="s">
        <v>1087</v>
      </c>
      <c r="C23" s="36" t="s">
        <v>1088</v>
      </c>
      <c r="D23" s="29" t="s">
        <v>138</v>
      </c>
      <c r="E23" s="29"/>
      <c r="F23" s="30"/>
      <c r="G23" s="31">
        <v>2.5</v>
      </c>
      <c r="H23" s="32" t="s">
        <v>135</v>
      </c>
      <c r="I23" s="33"/>
      <c r="J23" s="34"/>
      <c r="K23" s="35"/>
    </row>
    <row r="24" spans="1:11" x14ac:dyDescent="0.35">
      <c r="A24" s="29">
        <v>19</v>
      </c>
      <c r="B24" s="29" t="s">
        <v>1089</v>
      </c>
      <c r="C24" s="30" t="s">
        <v>1090</v>
      </c>
      <c r="D24" s="29" t="s">
        <v>650</v>
      </c>
      <c r="E24" s="29"/>
      <c r="F24" s="30"/>
      <c r="G24" s="31">
        <v>12</v>
      </c>
      <c r="H24" s="32" t="s">
        <v>135</v>
      </c>
      <c r="I24" s="33"/>
      <c r="J24" s="34"/>
      <c r="K24" s="35"/>
    </row>
    <row r="25" spans="1:11" x14ac:dyDescent="0.35">
      <c r="A25" s="29">
        <v>20</v>
      </c>
      <c r="B25" s="29" t="s">
        <v>1089</v>
      </c>
      <c r="C25" s="30" t="s">
        <v>1091</v>
      </c>
      <c r="D25" s="29" t="s">
        <v>650</v>
      </c>
      <c r="E25" s="29"/>
      <c r="F25" s="30" t="s">
        <v>1092</v>
      </c>
      <c r="G25" s="31">
        <v>6</v>
      </c>
      <c r="H25" s="32" t="s">
        <v>135</v>
      </c>
      <c r="I25" s="33"/>
      <c r="J25" s="34"/>
      <c r="K25" s="35"/>
    </row>
    <row r="26" spans="1:11" ht="26" x14ac:dyDescent="0.35">
      <c r="A26" s="29">
        <v>21</v>
      </c>
      <c r="B26" s="29" t="s">
        <v>1087</v>
      </c>
      <c r="C26" s="36" t="s">
        <v>1093</v>
      </c>
      <c r="D26" s="29" t="s">
        <v>138</v>
      </c>
      <c r="E26" s="29"/>
      <c r="F26" s="30"/>
      <c r="G26" s="31">
        <v>3.5</v>
      </c>
      <c r="H26" s="32" t="s">
        <v>135</v>
      </c>
      <c r="I26" s="33"/>
      <c r="J26" s="34"/>
      <c r="K26" s="35"/>
    </row>
    <row r="27" spans="1:11" x14ac:dyDescent="0.35">
      <c r="A27" s="29">
        <v>22</v>
      </c>
      <c r="B27" s="29" t="s">
        <v>1089</v>
      </c>
      <c r="C27" s="30" t="s">
        <v>1094</v>
      </c>
      <c r="D27" s="29" t="s">
        <v>650</v>
      </c>
      <c r="E27" s="29"/>
      <c r="F27" s="30"/>
      <c r="G27" s="31">
        <v>12</v>
      </c>
      <c r="H27" s="32" t="s">
        <v>135</v>
      </c>
      <c r="I27" s="33"/>
      <c r="J27" s="34"/>
      <c r="K27" s="35"/>
    </row>
    <row r="28" spans="1:11" x14ac:dyDescent="0.35">
      <c r="A28" s="29">
        <v>23</v>
      </c>
      <c r="B28" s="29" t="s">
        <v>1089</v>
      </c>
      <c r="C28" s="30" t="s">
        <v>1095</v>
      </c>
      <c r="D28" s="29" t="s">
        <v>650</v>
      </c>
      <c r="E28" s="29"/>
      <c r="F28" s="30"/>
      <c r="G28" s="31">
        <v>14</v>
      </c>
      <c r="H28" s="32" t="s">
        <v>135</v>
      </c>
      <c r="I28" s="33"/>
      <c r="J28" s="34"/>
      <c r="K28" s="35"/>
    </row>
    <row r="29" spans="1:11" x14ac:dyDescent="0.35">
      <c r="A29" s="29">
        <v>24</v>
      </c>
      <c r="B29" s="29" t="s">
        <v>1089</v>
      </c>
      <c r="C29" s="30" t="s">
        <v>1096</v>
      </c>
      <c r="D29" s="29" t="s">
        <v>650</v>
      </c>
      <c r="E29" s="29"/>
      <c r="F29" s="30"/>
      <c r="G29" s="31">
        <v>8</v>
      </c>
      <c r="H29" s="32" t="s">
        <v>135</v>
      </c>
      <c r="I29" s="33"/>
      <c r="J29" s="34"/>
      <c r="K29" s="35"/>
    </row>
    <row r="30" spans="1:11" x14ac:dyDescent="0.35">
      <c r="A30" s="29">
        <v>25</v>
      </c>
      <c r="B30" s="29" t="s">
        <v>1089</v>
      </c>
      <c r="C30" s="30" t="s">
        <v>1097</v>
      </c>
      <c r="D30" s="29" t="s">
        <v>650</v>
      </c>
      <c r="E30" s="29"/>
      <c r="F30" s="30"/>
      <c r="G30" s="31">
        <v>8</v>
      </c>
      <c r="H30" s="32" t="s">
        <v>135</v>
      </c>
      <c r="I30" s="33"/>
      <c r="J30" s="34"/>
      <c r="K30" s="35"/>
    </row>
    <row r="31" spans="1:11" x14ac:dyDescent="0.35">
      <c r="A31" s="29">
        <v>26</v>
      </c>
      <c r="B31" s="29" t="s">
        <v>1098</v>
      </c>
      <c r="C31" s="36" t="s">
        <v>1099</v>
      </c>
      <c r="D31" s="29" t="s">
        <v>138</v>
      </c>
      <c r="E31" s="29"/>
      <c r="F31" s="30"/>
      <c r="G31" s="31">
        <v>4</v>
      </c>
      <c r="H31" s="32" t="s">
        <v>135</v>
      </c>
      <c r="I31" s="33"/>
      <c r="J31" s="34"/>
      <c r="K31" s="35"/>
    </row>
    <row r="32" spans="1:11" x14ac:dyDescent="0.35">
      <c r="A32" s="29">
        <v>27</v>
      </c>
      <c r="B32" s="29" t="s">
        <v>1100</v>
      </c>
      <c r="C32" s="36" t="s">
        <v>1101</v>
      </c>
      <c r="D32" s="29" t="s">
        <v>138</v>
      </c>
      <c r="E32" s="29"/>
      <c r="F32" s="30"/>
      <c r="G32" s="31">
        <v>4</v>
      </c>
      <c r="H32" s="32" t="s">
        <v>135</v>
      </c>
      <c r="I32" s="33"/>
      <c r="J32" s="34"/>
      <c r="K32" s="35"/>
    </row>
    <row r="33" spans="1:11" ht="26" x14ac:dyDescent="0.35">
      <c r="A33" s="29">
        <v>28</v>
      </c>
      <c r="B33" s="29" t="s">
        <v>1102</v>
      </c>
      <c r="C33" s="36" t="s">
        <v>1103</v>
      </c>
      <c r="D33" s="29" t="s">
        <v>138</v>
      </c>
      <c r="E33" s="29"/>
      <c r="F33" s="30"/>
      <c r="G33" s="31">
        <v>3</v>
      </c>
      <c r="H33" s="32" t="s">
        <v>135</v>
      </c>
      <c r="I33" s="33"/>
      <c r="J33" s="34"/>
      <c r="K33" s="35"/>
    </row>
    <row r="34" spans="1:11" x14ac:dyDescent="0.35">
      <c r="A34" s="29">
        <v>29</v>
      </c>
      <c r="B34" s="29" t="s">
        <v>1104</v>
      </c>
      <c r="C34" s="36" t="s">
        <v>1105</v>
      </c>
      <c r="D34" s="29" t="s">
        <v>138</v>
      </c>
      <c r="E34" s="29"/>
      <c r="F34" s="30"/>
      <c r="G34" s="31">
        <v>2</v>
      </c>
      <c r="H34" s="32" t="s">
        <v>135</v>
      </c>
      <c r="I34" s="33"/>
      <c r="J34" s="34"/>
      <c r="K34" s="35"/>
    </row>
    <row r="35" spans="1:11" x14ac:dyDescent="0.35">
      <c r="A35" s="29">
        <v>30</v>
      </c>
      <c r="B35" s="29" t="s">
        <v>1087</v>
      </c>
      <c r="C35" s="36" t="s">
        <v>1106</v>
      </c>
      <c r="D35" s="29" t="s">
        <v>138</v>
      </c>
      <c r="E35" s="29"/>
      <c r="F35" s="30"/>
      <c r="G35" s="31">
        <v>2.5</v>
      </c>
      <c r="H35" s="32" t="s">
        <v>135</v>
      </c>
      <c r="I35" s="33"/>
      <c r="J35" s="34"/>
      <c r="K35" s="35"/>
    </row>
    <row r="36" spans="1:11" x14ac:dyDescent="0.35">
      <c r="A36" s="29">
        <v>31</v>
      </c>
      <c r="B36" s="29" t="s">
        <v>1087</v>
      </c>
      <c r="C36" s="36" t="s">
        <v>1107</v>
      </c>
      <c r="D36" s="29" t="s">
        <v>138</v>
      </c>
      <c r="E36" s="29"/>
      <c r="F36" s="30"/>
      <c r="G36" s="31">
        <v>2.5</v>
      </c>
      <c r="H36" s="32" t="s">
        <v>135</v>
      </c>
      <c r="I36" s="33"/>
      <c r="J36" s="34"/>
      <c r="K36" s="35"/>
    </row>
    <row r="37" spans="1:11" x14ac:dyDescent="0.35">
      <c r="A37" s="29">
        <v>32</v>
      </c>
      <c r="B37" s="29" t="s">
        <v>1087</v>
      </c>
      <c r="C37" s="36" t="s">
        <v>1108</v>
      </c>
      <c r="D37" s="29" t="s">
        <v>138</v>
      </c>
      <c r="E37" s="29"/>
      <c r="F37" s="30"/>
      <c r="G37" s="31">
        <v>3</v>
      </c>
      <c r="H37" s="32" t="s">
        <v>135</v>
      </c>
      <c r="I37" s="33"/>
      <c r="J37" s="34"/>
      <c r="K37" s="35"/>
    </row>
    <row r="38" spans="1:11" ht="25" x14ac:dyDescent="0.35">
      <c r="A38" s="29">
        <v>33</v>
      </c>
      <c r="B38" s="29" t="s">
        <v>412</v>
      </c>
      <c r="C38" s="30" t="s">
        <v>413</v>
      </c>
      <c r="D38" s="29" t="s">
        <v>414</v>
      </c>
      <c r="E38" s="29"/>
      <c r="F38" s="30" t="s">
        <v>415</v>
      </c>
      <c r="G38" s="31">
        <v>10</v>
      </c>
      <c r="H38" s="32" t="s">
        <v>135</v>
      </c>
      <c r="I38" s="33"/>
      <c r="J38" s="34"/>
      <c r="K38" s="35"/>
    </row>
  </sheetData>
  <autoFilter ref="A5:K38" xr:uid="{00000000-0009-0000-0000-00000A000000}"/>
  <mergeCells count="1">
    <mergeCell ref="A2:K2"/>
  </mergeCells>
  <conditionalFormatting sqref="A6:K38">
    <cfRule type="expression" dxfId="2" priority="2">
      <formula>$H6="Done"</formula>
    </cfRule>
    <cfRule type="expression" dxfId="1" priority="3">
      <formula>$H6="In progress"</formula>
    </cfRule>
    <cfRule type="expression" dxfId="0" priority="4">
      <formula>$H6="Skipped"</formula>
    </cfRule>
  </conditionalFormatting>
  <dataValidations count="1">
    <dataValidation type="list" allowBlank="1" errorTitle="Status" error="Pick a status from the list." sqref="H6:H500" xr:uid="{00000000-0002-0000-0A00-000000000000}">
      <formula1>"Not started,In progress,Done,Skipped"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Guide</vt:lpstr>
      <vt:lpstr>1 Programming</vt:lpstr>
      <vt:lpstr>2 Math for CS</vt:lpstr>
      <vt:lpstr>3 Algorithms</vt:lpstr>
      <vt:lpstr>4 Architecture</vt:lpstr>
      <vt:lpstr>5 Lang &amp; Compilers</vt:lpstr>
      <vt:lpstr>6 Operating Systems</vt:lpstr>
      <vt:lpstr>7 Networking</vt:lpstr>
      <vt:lpstr>8 Databases</vt:lpstr>
      <vt:lpstr>9 Distributed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Micah Vranes</cp:lastModifiedBy>
  <cp:revision>0</cp:revision>
  <dcterms:created xsi:type="dcterms:W3CDTF">2026-09-30T23:35:46Z</dcterms:created>
  <dcterms:modified xsi:type="dcterms:W3CDTF">2026-10-27T02:36:15Z</dcterms:modified>
  <dc:language>en-US</dc:language>
</cp:coreProperties>
</file>