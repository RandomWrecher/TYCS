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113" documentId="8_{05A0118C-8117-4732-9D05-9B1B0E3931DE}" xr6:coauthVersionLast="47" xr6:coauthVersionMax="47" xr10:uidLastSave="{57706BA9-580F-4954-97C7-903A47CF320D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<sst xmlns="http://schemas.openxmlformats.org/spreadsheetml/2006/main" count="3153" uniqueCount="1111">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</sst>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2.587925159133286E-2</v>
      </c>
      <c r="D5" s="4">
        <f>E17</f>
        <v>40.25</v>
      </c>
      <c r="F5" s="4">
        <f>D17</f>
        <v>1555.3000000000002</v>
      </c>
      <c r="H5" s="4">
        <f>K17</f>
        <v>33</v>
      </c>
      <c r="J5" s="5">
        <f>H17</f>
        <v>30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40.25</v>
      </c>
      <c r="F8" s="11">
        <f t="shared" ref="F8:F17" si="0">IF(D8=0,0,E8/D8)</f>
        <v>0.22330097087378642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30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33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46325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40.25</v>
      </c>
      <c r="F17" s="16">
        <f t="shared" si="0"/>
        <v>2.587925159133286E-2</v>
      </c>
      <c r="G17" s="14">
        <f>SUM(G8:G16)</f>
        <v>818</v>
      </c>
      <c r="H17" s="14">
        <f>SUM(H8:H16)</f>
        <v>30</v>
      </c>
      <c r="I17" s="14">
        <f>SUM(I8:I16)</f>
        <v>49</v>
      </c>
      <c r="J17" s="14">
        <f>SUM(J8:J16)</f>
        <v>0</v>
      </c>
      <c r="K17" s="15">
        <f>SUM(K8:K16)</f>
        <v>33</v>
      </c>
      <c r="L17" s="17">
        <f>IF(COUNT(L8:L16)=0,"",MIN(L8:L16))</f>
        <v>46288</v>
      </c>
      <c r="M17" s="17">
        <f>IF(COUNT(M8:M16)=0,"",MAX(M8:M16))</f>
        <v>46325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34" activePane="bottomRight" state="frozen"/>
      <selection pane="topRight" activeCell="D1" sqref="D1"/>
      <selection pane="bottomLeft" activeCell="A6" sqref="A6"/>
      <selection pane="bottomRight" activeCell="H40" sqref="H40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10.26953125" bestFit="1" customWidth="1"/>
    <col min="6" max="6" width="70" customWidth="1"/>
    <col min="7" max="7" width="13" bestFit="1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40.25</v>
      </c>
      <c r="E3" s="25" t="s">
        <v>13</v>
      </c>
      <c r="F3" s="27">
        <f>IF(B3=0,0,D3/B3)</f>
        <v>0.22330097087378642</v>
      </c>
      <c r="G3" s="25" t="s">
        <v>6</v>
      </c>
      <c r="H3" s="28">
        <f>SUMIFS($E$6:$E$500,$D$6:$D$500,"Exercise",$H$6:$H$500,"Done")</f>
        <v>30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1109</v>
      </c>
      <c r="I25" s="33">
        <v>46322</v>
      </c>
      <c r="J25" s="34">
        <v>4</v>
      </c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1109</v>
      </c>
      <c r="I27" s="33">
        <v>46312</v>
      </c>
      <c r="J27" s="34">
        <v>0.5</v>
      </c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1109</v>
      </c>
      <c r="I28" s="33">
        <v>46312</v>
      </c>
      <c r="J28" s="34">
        <v>0.5</v>
      </c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1109</v>
      </c>
      <c r="I29" s="33">
        <v>46313</v>
      </c>
      <c r="J29" s="34">
        <v>0.75</v>
      </c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1109</v>
      </c>
      <c r="I30" s="33">
        <v>46318</v>
      </c>
      <c r="J30" s="34">
        <v>0.25</v>
      </c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1109</v>
      </c>
      <c r="I31" s="33">
        <v>46322</v>
      </c>
      <c r="J31" s="34">
        <v>0.5</v>
      </c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1109</v>
      </c>
      <c r="I32" s="33">
        <v>46322</v>
      </c>
      <c r="J32" s="34">
        <v>0.75</v>
      </c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1109</v>
      </c>
      <c r="I33" s="33">
        <v>46322</v>
      </c>
      <c r="J33" s="34">
        <v>0.25</v>
      </c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1109</v>
      </c>
      <c r="I34" s="33">
        <v>46322</v>
      </c>
      <c r="J34" s="34">
        <v>0.25</v>
      </c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1109</v>
      </c>
      <c r="I35" s="33">
        <v>46323</v>
      </c>
      <c r="J35" s="34">
        <v>0.25</v>
      </c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1109</v>
      </c>
      <c r="I36" s="33">
        <v>46323</v>
      </c>
      <c r="J36" s="34">
        <v>0.5</v>
      </c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1109</v>
      </c>
      <c r="I37" s="33">
        <v>46324</v>
      </c>
      <c r="J37" s="34">
        <v>1.25</v>
      </c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1109</v>
      </c>
      <c r="I38" s="33">
        <v>46324</v>
      </c>
      <c r="J38" s="34">
        <v>0.75</v>
      </c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1110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1109</v>
      </c>
      <c r="I40" s="33">
        <v>46325</v>
      </c>
      <c r="J40" s="34">
        <v>0.5</v>
      </c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15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11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21" sqref="F21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31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74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2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22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2026-10-30T22:14:07Z</dcterms:modified>
  <dc:language>en-US</dc:language>
</cp:coreProperties>
</file>