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23" documentId="8_{05A0118C-8117-4732-9D05-9B1B0E3931DE}" xr6:coauthVersionLast="47" xr6:coauthVersionMax="47" xr10:uidLastSave="{ACF3AE54-C2CC-4E6A-9B7A-3AE71008BBD5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<sst xmlns="http://schemas.openxmlformats.org/spreadsheetml/2006/main" count="3153" uniqueCount="1111">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</sst>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1.1573329904198546E-2</v>
      </c>
      <c r="D5" s="4">
        <f>E17</f>
        <v>18</v>
      </c>
      <c r="F5" s="4">
        <f>D17</f>
        <v>1555.3000000000002</v>
      </c>
      <c r="H5" s="4">
        <f>K17</f>
        <v>13.75</v>
      </c>
      <c r="J5" s="5">
        <f>H17</f>
        <v>14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18</v>
      </c>
      <c r="F8" s="11">
        <f t="shared" ref="F8:F17" si="0">IF(D8=0,0,E8/D8)</f>
        <v>9.9861303744798888E-2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14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13.75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46306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18</v>
      </c>
      <c r="F17" s="16">
        <f t="shared" si="0"/>
        <v>1.1573329904198546E-2</v>
      </c>
      <c r="G17" s="14">
        <f>SUM(G8:G16)</f>
        <v>818</v>
      </c>
      <c r="H17" s="14">
        <f>SUM(H8:H16)</f>
        <v>14</v>
      </c>
      <c r="I17" s="14">
        <f>SUM(I8:I16)</f>
        <v>49</v>
      </c>
      <c r="J17" s="14">
        <f>SUM(J8:J16)</f>
        <v>0</v>
      </c>
      <c r="K17" s="15">
        <f>SUM(K8:K16)</f>
        <v>13.75</v>
      </c>
      <c r="L17" s="17">
        <f>IF(COUNT(L8:L16)=0,"",MIN(L8:L16))</f>
        <v>46288</v>
      </c>
      <c r="M17" s="17">
        <f>IF(COUNT(M8:M16)=0,"",MAX(M8:M16))</f>
        <v>46306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H22" sqref="H22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18</v>
      </c>
      <c r="E3" s="25" t="s">
        <v>13</v>
      </c>
      <c r="F3" s="27">
        <f>IF(B3=0,0,D3/B3)</f>
        <v>9.9861303744798888E-2</v>
      </c>
      <c r="G3" s="25" t="s">
        <v>6</v>
      </c>
      <c r="H3" s="28">
        <f>SUMIFS($E$6:$E$500,$D$6:$D$500,"Exercise",$H$6:$H$500,"Done")</f>
        <v>14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1110</v>
      </c>
      <c r="I12" s="33"/>
      <c r="J12" s="34"/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1109</v>
      </c>
      <c r="I22" s="33">
        <v>46306</v>
      </c>
      <c r="J22" s="34">
        <v>0.5</v>
      </c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7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6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2026-10-11T20:34:19Z</dcterms:modified>
  <dc:language>en-US</dc:language>
</cp:coreProperties>
</file>